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44eea674235c28b9/Desktop/"/>
    </mc:Choice>
  </mc:AlternateContent>
  <xr:revisionPtr revIDLastSave="5" documentId="8_{859B36C0-CB15-478B-BA6C-1708235B0916}" xr6:coauthVersionLast="47" xr6:coauthVersionMax="47" xr10:uidLastSave="{5B0E0D19-3CC8-494C-AC4F-756024202E9F}"/>
  <bookViews>
    <workbookView xWindow="-108" yWindow="-108" windowWidth="23256" windowHeight="12456" activeTab="3" xr2:uid="{00000000-000D-0000-FFFF-FFFF00000000}"/>
  </bookViews>
  <sheets>
    <sheet name="KPI_Dashboard" sheetId="1" r:id="rId1"/>
    <sheet name="Insights_summary" sheetId="7" r:id="rId2"/>
    <sheet name="Pivots" sheetId="5" r:id="rId3"/>
    <sheet name="Raw_Data" sheetId="3" r:id="rId4"/>
  </sheets>
  <definedNames>
    <definedName name="_xlcn.WorksheetConnection_1.xlsxSuperstore_data1" hidden="1">Superstore_data[]</definedName>
    <definedName name="ExternalData_1" localSheetId="3" hidden="1">Raw_Data!$A$1:$S$1238</definedName>
    <definedName name="Slicer_category">#N/A</definedName>
    <definedName name="Slicer_order_year">#N/A</definedName>
    <definedName name="Slicer_region">#N/A</definedName>
    <definedName name="Slicer_segment">#N/A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data" name="Superstore_data" connection="WorksheetConnection_1.xlsx!Superstor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 l="1" a="1"/>
  <c r="G8" i="1" s="1"/>
  <c r="G7" i="1"/>
  <c r="G6" i="1"/>
  <c r="G5" i="1"/>
  <c r="G4" i="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7542B7-3EBE-43D8-8829-55A8CF11431F}" keepAlive="1" name="Query - Profit_Margin" description="Connection to the 'Profit_Margin' query in the workbook." type="5" refreshedVersion="0" background="1" saveData="1">
    <dbPr connection="Provider=Microsoft.Mashup.OleDb.1;Data Source=$Workbook$;Location=Profit_Margin;Extended Properties=&quot;&quot;" command="SELECT * FROM [Profit_Margin]"/>
  </connection>
  <connection id="2" xr16:uid="{B64C751C-F47D-415B-A612-1FE184E0A496}"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3" xr16:uid="{6DC7CB3A-E25A-4007-B4BD-6AB54481FAD0}" keepAlive="1" name="Query - SampleSuperstore" description="Connection to the 'SampleSuperstore' query in the workbook." type="5" refreshedVersion="0" background="1" saveData="1">
    <dbPr connection="Provider=Microsoft.Mashup.OleDb.1;Data Source=$Workbook$;Location=SampleSuperstore;Extended Properties=&quot;&quot;" command="SELECT * FROM [SampleSuperstore]"/>
  </connection>
  <connection id="4" xr16:uid="{C6EB4678-20FF-4EF5-B90E-77ED5B308C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4252255-776B-43FC-8077-19213F883FD5}" name="WorksheetConnection_1.xlsx!Superstore_data" type="102" refreshedVersion="8" minRefreshableVersion="5">
    <extLst>
      <ext xmlns:x15="http://schemas.microsoft.com/office/spreadsheetml/2010/11/main" uri="{DE250136-89BD-433C-8126-D09CA5730AF9}">
        <x15:connection id="Superstore_data" autoDelete="1">
          <x15:rangePr sourceName="_xlcn.WorksheetConnection_1.xlsxSuperstore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<sst xmlns="http://schemas.openxmlformats.org/spreadsheetml/2006/main" count="14981" uniqueCount="2560">
  <si>
    <t>Segment</t>
  </si>
  <si>
    <t>Region</t>
  </si>
  <si>
    <t>Sales</t>
  </si>
  <si>
    <t>Discount</t>
  </si>
  <si>
    <t>Profit</t>
  </si>
  <si>
    <t>Second Class</t>
  </si>
  <si>
    <t>Consumer</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</si>
  <si>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</si>
  <si>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</si>
  <si>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</si>
  <si>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</si>
  <si>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</si>
  <si>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</si>
  <si>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</si>
  <si>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</si>
  <si>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</si>
  <si>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</si>
  <si>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</si>
  <si>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</si>
  <si>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</si>
  <si>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</si>
  <si>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</si>
  <si>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</si>
  <si>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</si>
  <si>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</si>
  <si>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</si>
  <si>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</si>
  <si>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</si>
  <si>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</si>
  <si>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</si>
  <si>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</si>
  <si>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</si>
  <si>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</si>
  <si>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</si>
  <si>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</si>
  <si>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</si>
  <si>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</si>
  <si>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</si>
  <si>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</si>
  <si>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</si>
  <si>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</si>
  <si>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</si>
  <si>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</si>
  <si>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</si>
  <si>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</si>
  <si>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</si>
  <si>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</si>
  <si>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</si>
  <si>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</si>
  <si>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</si>
  <si>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</si>
  <si>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</si>
  <si>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</si>
  <si>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</si>
  <si>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</si>
  <si>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</si>
  <si>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</si>
  <si>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</si>
  <si>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</si>
  <si>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</si>
  <si>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</si>
  <si>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</si>
  <si>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</si>
  <si>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</si>
  <si>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</si>
  <si>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</si>
  <si>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</si>
  <si>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</si>
  <si>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</si>
  <si>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</si>
  <si>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</si>
  <si>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</si>
  <si>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</si>
  <si>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</si>
  <si>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</si>
  <si>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</si>
  <si>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</si>
  <si>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</si>
  <si>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</si>
  <si>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</si>
  <si>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</si>
  <si>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</si>
  <si>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</si>
  <si>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</si>
  <si>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</si>
  <si>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</si>
  <si>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</si>
  <si>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</si>
  <si>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</si>
  <si>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</si>
  <si>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</si>
  <si>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</si>
  <si>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</si>
  <si>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</si>
  <si>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</si>
  <si>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</si>
  <si>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</si>
  <si>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</si>
  <si>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</si>
  <si>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</si>
  <si>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</si>
  <si>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</si>
  <si>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</si>
  <si>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</si>
  <si>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</si>
  <si>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</si>
  <si>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</si>
  <si>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</si>
  <si>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</si>
  <si>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</si>
  <si>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</si>
  <si>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</si>
  <si>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</si>
  <si>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</si>
  <si>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</si>
  <si>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</si>
  <si>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</si>
  <si>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</si>
  <si>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</si>
  <si>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</si>
  <si>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</si>
  <si>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</si>
  <si>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</si>
  <si>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</si>
  <si>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</si>
  <si>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</si>
  <si>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</si>
  <si>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</si>
  <si>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</si>
  <si>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</si>
  <si>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</si>
  <si>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</si>
  <si>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</si>
  <si>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</si>
  <si>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</si>
  <si>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</si>
  <si>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</si>
  <si>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</si>
  <si>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</si>
  <si>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</si>
  <si>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</si>
  <si>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</si>
  <si>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</si>
  <si>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</si>
  <si>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</si>
  <si>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</si>
  <si>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</si>
  <si>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</si>
  <si>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</si>
  <si>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</si>
  <si>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</si>
  <si>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</si>
  <si>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</si>
  <si>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</si>
  <si>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</si>
  <si>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</si>
  <si>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</si>
  <si>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</si>
  <si>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</si>
  <si>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</si>
  <si>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</si>
  <si>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</si>
  <si>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</si>
  <si>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</si>
  <si>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</si>
  <si>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</si>
  <si>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</si>
  <si>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</si>
  <si>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</si>
  <si>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</si>
  <si>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</si>
  <si>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</si>
  <si>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</si>
  <si>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</si>
  <si>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</si>
  <si>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</si>
  <si>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</si>
  <si>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</si>
  <si>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</si>
  <si>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</si>
  <si>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</si>
  <si>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</si>
  <si>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</si>
  <si>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</si>
  <si>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Huntsville</t>
  </si>
  <si>
    <t>Fayetteville</t>
  </si>
  <si>
    <t>Arkansas</t>
  </si>
  <si>
    <t>Costa Mesa</t>
  </si>
  <si>
    <t>Parker</t>
  </si>
  <si>
    <t>Atlanta</t>
  </si>
  <si>
    <t>Gladstone</t>
  </si>
  <si>
    <t>Great Falls</t>
  </si>
  <si>
    <t>Montana</t>
  </si>
  <si>
    <t>Lakeland</t>
  </si>
  <si>
    <t>Montgomery</t>
  </si>
  <si>
    <t>Mesa</t>
  </si>
  <si>
    <t>Green Bay</t>
  </si>
  <si>
    <t>Anaheim</t>
  </si>
  <si>
    <t>Salem</t>
  </si>
  <si>
    <t>Laredo</t>
  </si>
  <si>
    <t>Grove City</t>
  </si>
  <si>
    <t>Dearborn</t>
  </si>
  <si>
    <t>Warner Robins</t>
  </si>
  <si>
    <t>Vallejo</t>
  </si>
  <si>
    <t>Mission Viejo</t>
  </si>
  <si>
    <t>Plainfield</t>
  </si>
  <si>
    <t>Sierra Vista</t>
  </si>
  <si>
    <t>Vancouver</t>
  </si>
  <si>
    <t>Cleveland</t>
  </si>
  <si>
    <t>Tyler</t>
  </si>
  <si>
    <t>Burlington</t>
  </si>
  <si>
    <t>Waynesboro</t>
  </si>
  <si>
    <t>Chester</t>
  </si>
  <si>
    <t>Mount Vernon</t>
  </si>
  <si>
    <t>Hialeah</t>
  </si>
  <si>
    <t>Oceanside</t>
  </si>
  <si>
    <t>Evanston</t>
  </si>
  <si>
    <t>Trenton</t>
  </si>
  <si>
    <t>Cottage Grove</t>
  </si>
  <si>
    <t>Bossier City</t>
  </si>
  <si>
    <t>Lancaster</t>
  </si>
  <si>
    <t>Asheville</t>
  </si>
  <si>
    <t>Omaha</t>
  </si>
  <si>
    <t>Edmonds</t>
  </si>
  <si>
    <t>Santa Ana</t>
  </si>
  <si>
    <t>Milwaukee</t>
  </si>
  <si>
    <t>Florence</t>
  </si>
  <si>
    <t>Lorain</t>
  </si>
  <si>
    <t>Linden</t>
  </si>
  <si>
    <t>New Brunswick</t>
  </si>
  <si>
    <t>New Hampshire</t>
  </si>
  <si>
    <t>Maryland</t>
  </si>
  <si>
    <t>Garland</t>
  </si>
  <si>
    <t>Norwich</t>
  </si>
  <si>
    <t>Alexandria</t>
  </si>
  <si>
    <t>Toledo</t>
  </si>
  <si>
    <t>Riverside</t>
  </si>
  <si>
    <t>Boca Raton</t>
  </si>
  <si>
    <t>Virginia Beach</t>
  </si>
  <si>
    <t>Murrieta</t>
  </si>
  <si>
    <t>Olympia</t>
  </si>
  <si>
    <t>District of Columbia</t>
  </si>
  <si>
    <t>Rockford</t>
  </si>
  <si>
    <t>Brownsville</t>
  </si>
  <si>
    <t>Yonkers</t>
  </si>
  <si>
    <t>Oakland</t>
  </si>
  <si>
    <t>Clinton</t>
  </si>
  <si>
    <t>Encinitas</t>
  </si>
  <si>
    <t>Roswell</t>
  </si>
  <si>
    <t>Jonesboro</t>
  </si>
  <si>
    <t>Antioch</t>
  </si>
  <si>
    <t>Cuyahoga Falls</t>
  </si>
  <si>
    <t>Reno</t>
  </si>
  <si>
    <t>Harrisonburg</t>
  </si>
  <si>
    <t>Escondido</t>
  </si>
  <si>
    <t>Royal Oak</t>
  </si>
  <si>
    <t>Coral Springs</t>
  </si>
  <si>
    <t>Buffalo</t>
  </si>
  <si>
    <t>Gulfport</t>
  </si>
  <si>
    <t>Fresno</t>
  </si>
  <si>
    <t>Greenville</t>
  </si>
  <si>
    <t>Macon</t>
  </si>
  <si>
    <t>Providence</t>
  </si>
  <si>
    <t>Pueblo</t>
  </si>
  <si>
    <t>Deltona</t>
  </si>
  <si>
    <t>Murray</t>
  </si>
  <si>
    <t>Middletown</t>
  </si>
  <si>
    <t>Provo</t>
  </si>
  <si>
    <t>Pleasant Grove</t>
  </si>
  <si>
    <t>Smyrna</t>
  </si>
  <si>
    <t>Mobile</t>
  </si>
  <si>
    <t>New Bedford</t>
  </si>
  <si>
    <t>Glendale</t>
  </si>
  <si>
    <t>Westminster</t>
  </si>
  <si>
    <t>Coppell</t>
  </si>
  <si>
    <t>Pomona</t>
  </si>
  <si>
    <t>North Las Vegas</t>
  </si>
  <si>
    <t>Tempe</t>
  </si>
  <si>
    <t>Laguna Niguel</t>
  </si>
  <si>
    <t>Bridgeton</t>
  </si>
  <si>
    <t>Watertown</t>
  </si>
  <si>
    <t>Appleton</t>
  </si>
  <si>
    <t>Bellevue</t>
  </si>
  <si>
    <t>Allen</t>
  </si>
  <si>
    <t>El Paso</t>
  </si>
  <si>
    <t>Carrollton</t>
  </si>
  <si>
    <t>Kent</t>
  </si>
  <si>
    <t>Lafayette</t>
  </si>
  <si>
    <t>Plano</t>
  </si>
  <si>
    <t>Suffolk</t>
  </si>
  <si>
    <t>Indianapolis</t>
  </si>
  <si>
    <t>Greensboro</t>
  </si>
  <si>
    <t>Baltimore</t>
  </si>
  <si>
    <t>Kenosha</t>
  </si>
  <si>
    <t>Kansas</t>
  </si>
  <si>
    <t>Tulsa</t>
  </si>
  <si>
    <t>Redmond</t>
  </si>
  <si>
    <t>Raleigh</t>
  </si>
  <si>
    <t>Bowling Green</t>
  </si>
  <si>
    <t>South Bend</t>
  </si>
  <si>
    <t>Spokane</t>
  </si>
  <si>
    <t>Keller</t>
  </si>
  <si>
    <t>Medford</t>
  </si>
  <si>
    <t>Missoula</t>
  </si>
  <si>
    <t>Apopka</t>
  </si>
  <si>
    <t>Oklahoma City</t>
  </si>
  <si>
    <t>Chesapeake</t>
  </si>
  <si>
    <t>Lubbock</t>
  </si>
  <si>
    <t>Johnson City</t>
  </si>
  <si>
    <t>Leominster</t>
  </si>
  <si>
    <t>Bozeman</t>
  </si>
  <si>
    <t>Rancho Cucamonga</t>
  </si>
  <si>
    <t>Moorhead</t>
  </si>
  <si>
    <t>York</t>
  </si>
  <si>
    <t>Manteca</t>
  </si>
  <si>
    <t>Salt Lake City</t>
  </si>
  <si>
    <t>Marion</t>
  </si>
  <si>
    <t>Littleton</t>
  </si>
  <si>
    <t>Vermont</t>
  </si>
  <si>
    <t>Southaven</t>
  </si>
  <si>
    <t>Midland</t>
  </si>
  <si>
    <t>Sioux Falls</t>
  </si>
  <si>
    <t>South Dakota</t>
  </si>
  <si>
    <t>Sacramento</t>
  </si>
  <si>
    <t>Malden</t>
  </si>
  <si>
    <t>Elmhurst</t>
  </si>
  <si>
    <t>Passaic</t>
  </si>
  <si>
    <t>Newport News</t>
  </si>
  <si>
    <t>Mishawaka</t>
  </si>
  <si>
    <t>Tallahassee</t>
  </si>
  <si>
    <t>Nashville</t>
  </si>
  <si>
    <t>Bellingham</t>
  </si>
  <si>
    <t>Woodstock</t>
  </si>
  <si>
    <t>Hot Springs</t>
  </si>
  <si>
    <t>Englewood</t>
  </si>
  <si>
    <t>Las Cruces</t>
  </si>
  <si>
    <t>Hoover</t>
  </si>
  <si>
    <t>Bakersfield</t>
  </si>
  <si>
    <t>Redondo Beach</t>
  </si>
  <si>
    <t>Orlando</t>
  </si>
  <si>
    <t>Highland Park</t>
  </si>
  <si>
    <t>Sterling Heights</t>
  </si>
  <si>
    <t>Eau Claire</t>
  </si>
  <si>
    <t>Pharr</t>
  </si>
  <si>
    <t>Billings</t>
  </si>
  <si>
    <t>Gresham</t>
  </si>
  <si>
    <t>Chattanooga</t>
  </si>
  <si>
    <t>Meridian</t>
  </si>
  <si>
    <t>Idaho</t>
  </si>
  <si>
    <t>Bolingbrook</t>
  </si>
  <si>
    <t>Pearland</t>
  </si>
  <si>
    <t>Yucaipa</t>
  </si>
  <si>
    <t>Santa Fe</t>
  </si>
  <si>
    <t>Hickory</t>
  </si>
  <si>
    <t>Plantation</t>
  </si>
  <si>
    <t>Chula Vista</t>
  </si>
  <si>
    <t>Manhattan</t>
  </si>
  <si>
    <t>Altoona</t>
  </si>
  <si>
    <t>Texarkana</t>
  </si>
  <si>
    <t>Baytown</t>
  </si>
  <si>
    <t>Superior</t>
  </si>
  <si>
    <t>Bedford</t>
  </si>
  <si>
    <t>Miramar</t>
  </si>
  <si>
    <t>Deer Park</t>
  </si>
  <si>
    <t>Mcallen</t>
  </si>
  <si>
    <t>Boise</t>
  </si>
  <si>
    <t>The Colony</t>
  </si>
  <si>
    <t>Fargo</t>
  </si>
  <si>
    <t>North Dakota</t>
  </si>
  <si>
    <t>Sandy Springs</t>
  </si>
  <si>
    <t>Hampton</t>
  </si>
  <si>
    <t>Hattiesburg</t>
  </si>
  <si>
    <t>Athens</t>
  </si>
  <si>
    <t>Gaithersburg</t>
  </si>
  <si>
    <t>Lehi</t>
  </si>
  <si>
    <t>Tuscaloosa</t>
  </si>
  <si>
    <t>Moreno Valley</t>
  </si>
  <si>
    <t>Loveland</t>
  </si>
  <si>
    <t>Waco</t>
  </si>
  <si>
    <t>Frankfort</t>
  </si>
  <si>
    <t>Woodbury</t>
  </si>
  <si>
    <t>Holland</t>
  </si>
  <si>
    <t>Milford</t>
  </si>
  <si>
    <t>Redding</t>
  </si>
  <si>
    <t>Des Plaines</t>
  </si>
  <si>
    <t>Oxnard</t>
  </si>
  <si>
    <t>Texas City</t>
  </si>
  <si>
    <t>Wilson</t>
  </si>
  <si>
    <t>Beaumont</t>
  </si>
  <si>
    <t>West Palm Beach</t>
  </si>
  <si>
    <t>Mansfield</t>
  </si>
  <si>
    <t>CA-2016-152156</t>
  </si>
  <si>
    <t>November</t>
  </si>
  <si>
    <t>FUR-BO-10001798</t>
  </si>
  <si>
    <t>Low</t>
  </si>
  <si>
    <t>CA-2016-138688</t>
  </si>
  <si>
    <t>June</t>
  </si>
  <si>
    <t>OFF-LA-10000240</t>
  </si>
  <si>
    <t>US-2015-108966</t>
  </si>
  <si>
    <t>October</t>
  </si>
  <si>
    <t>FUR-TA-10000577</t>
  </si>
  <si>
    <t>Loss</t>
  </si>
  <si>
    <t>High</t>
  </si>
  <si>
    <t>CA-2014-115812</t>
  </si>
  <si>
    <t>FUR-FU-10001487</t>
  </si>
  <si>
    <t>CA-2017-114412</t>
  </si>
  <si>
    <t>April</t>
  </si>
  <si>
    <t>OFF-PA-10002365</t>
  </si>
  <si>
    <t>Medium</t>
  </si>
  <si>
    <t>CA-2016-161389</t>
  </si>
  <si>
    <t>December</t>
  </si>
  <si>
    <t>OFF-BI-10003656</t>
  </si>
  <si>
    <t>US-2015-118983</t>
  </si>
  <si>
    <t>OFF-AP-10002311</t>
  </si>
  <si>
    <t>CA-2014-105893</t>
  </si>
  <si>
    <t>OFF-ST-10004186</t>
  </si>
  <si>
    <t>CA-2014-167164</t>
  </si>
  <si>
    <t>May</t>
  </si>
  <si>
    <t>OFF-ST-10000107</t>
  </si>
  <si>
    <t>CA-2014-143336</t>
  </si>
  <si>
    <t>August</t>
  </si>
  <si>
    <t>OFF-AR-10003056</t>
  </si>
  <si>
    <t>CA-2016-137330</t>
  </si>
  <si>
    <t>OFF-AR-10000246</t>
  </si>
  <si>
    <t>US-2017-156909</t>
  </si>
  <si>
    <t>July</t>
  </si>
  <si>
    <t>FUR-CH-10002774</t>
  </si>
  <si>
    <t>CA-2015-106320</t>
  </si>
  <si>
    <t>September</t>
  </si>
  <si>
    <t>CA-2016-121755</t>
  </si>
  <si>
    <t>January</t>
  </si>
  <si>
    <t>OFF-BI-10001634</t>
  </si>
  <si>
    <t>US-2015-150630</t>
  </si>
  <si>
    <t>FUR-BO-10004834</t>
  </si>
  <si>
    <t>CA-2017-107727</t>
  </si>
  <si>
    <t>OFF-PA-10000249</t>
  </si>
  <si>
    <t>CA-2016-117590</t>
  </si>
  <si>
    <t>TEC-PH-10004977</t>
  </si>
  <si>
    <t>CA-2015-117415</t>
  </si>
  <si>
    <t>OFF-EN-10002986</t>
  </si>
  <si>
    <t>CA-2017-120999</t>
  </si>
  <si>
    <t>TEC-PH-10004093</t>
  </si>
  <si>
    <t>CA-2016-101343</t>
  </si>
  <si>
    <t>OFF-ST-10003479</t>
  </si>
  <si>
    <t>CA-2017-139619</t>
  </si>
  <si>
    <t>OFF-ST-10003282</t>
  </si>
  <si>
    <t>CA-2016-118255</t>
  </si>
  <si>
    <t>March</t>
  </si>
  <si>
    <t>TEC-AC-10000171</t>
  </si>
  <si>
    <t>CA-2014-146703</t>
  </si>
  <si>
    <t>OFF-ST-10001713</t>
  </si>
  <si>
    <t>CA-2016-169194</t>
  </si>
  <si>
    <t>TEC-AC-10002167</t>
  </si>
  <si>
    <t>CA-2015-115742</t>
  </si>
  <si>
    <t>OFF-BI-10004410</t>
  </si>
  <si>
    <t>CA-2016-105816</t>
  </si>
  <si>
    <t>OFF-FA-10000304</t>
  </si>
  <si>
    <t>CA-2016-111682</t>
  </si>
  <si>
    <t>OFF-ST-10000604</t>
  </si>
  <si>
    <t>CA-2015-135545</t>
  </si>
  <si>
    <t>TEC-AC-10004633</t>
  </si>
  <si>
    <t>US-2015-164175</t>
  </si>
  <si>
    <t>FUR-CH-10001146</t>
  </si>
  <si>
    <t>CA-2014-106376</t>
  </si>
  <si>
    <t>OFF-AR-10002671</t>
  </si>
  <si>
    <t>CA-2016-119823</t>
  </si>
  <si>
    <t>OFF-PA-10000482</t>
  </si>
  <si>
    <t>CA-2016-106075</t>
  </si>
  <si>
    <t>OFF-BI-10004654</t>
  </si>
  <si>
    <t>CA-2017-114440</t>
  </si>
  <si>
    <t>OFF-PA-10004675</t>
  </si>
  <si>
    <t>US-2015-134026</t>
  </si>
  <si>
    <t>FUR-CH-10000513</t>
  </si>
  <si>
    <t>US-2017-118038</t>
  </si>
  <si>
    <t>OFF-BI-10004182</t>
  </si>
  <si>
    <t>US-2014-147606</t>
  </si>
  <si>
    <t>FUR-FU-10003194</t>
  </si>
  <si>
    <t>CA-2014-139451</t>
  </si>
  <si>
    <t>OFF-AR-10002053</t>
  </si>
  <si>
    <t>CA-2015-149734</t>
  </si>
  <si>
    <t>OFF-EN-10000927</t>
  </si>
  <si>
    <t>US-2017-119662</t>
  </si>
  <si>
    <t>OFF-ST-10003656</t>
  </si>
  <si>
    <t>CA-2017-140088</t>
  </si>
  <si>
    <t>FUR-CH-10000863</t>
  </si>
  <si>
    <t>CA-2017-155558</t>
  </si>
  <si>
    <t>TEC-AC-10001998</t>
  </si>
  <si>
    <t>CA-2016-159695</t>
  </si>
  <si>
    <t>OFF-ST-10003442</t>
  </si>
  <si>
    <t>CA-2016-109806</t>
  </si>
  <si>
    <t>OFF-AR-10004930</t>
  </si>
  <si>
    <t>CA-2015-149587</t>
  </si>
  <si>
    <t>OFF-PA-10003177</t>
  </si>
  <si>
    <t>US-2017-109484</t>
  </si>
  <si>
    <t>OFF-BI-10004738</t>
  </si>
  <si>
    <t>CA-2017-161018</t>
  </si>
  <si>
    <t>FUR-FU-10000629</t>
  </si>
  <si>
    <t>CA-2017-157833</t>
  </si>
  <si>
    <t>OFF-BI-10001721</t>
  </si>
  <si>
    <t>CA-2016-149223</t>
  </si>
  <si>
    <t>OFF-AP-10000358</t>
  </si>
  <si>
    <t>CA-2016-158568</t>
  </si>
  <si>
    <t>OFF-PA-10003256</t>
  </si>
  <si>
    <t>CA-2016-129903</t>
  </si>
  <si>
    <t>OFF-PA-10004040</t>
  </si>
  <si>
    <t>US-2015-156867</t>
  </si>
  <si>
    <t>TEC-AC-10001552</t>
  </si>
  <si>
    <t>CA-2017-119004</t>
  </si>
  <si>
    <t>TEC-AC-10003499</t>
  </si>
  <si>
    <t>CA-2015-129476</t>
  </si>
  <si>
    <t>TEC-AC-10000844</t>
  </si>
  <si>
    <t>CA-2017-146780</t>
  </si>
  <si>
    <t>FUR-FU-10001934</t>
  </si>
  <si>
    <t>CA-2016-128867</t>
  </si>
  <si>
    <t>OFF-AR-10000380</t>
  </si>
  <si>
    <t>CA-2014-115259</t>
  </si>
  <si>
    <t>OFF-FA-10000621</t>
  </si>
  <si>
    <t>CA-2015-110457</t>
  </si>
  <si>
    <t>FUR-TA-10001768</t>
  </si>
  <si>
    <t>US-2015-136476</t>
  </si>
  <si>
    <t>OFF-BI-10003650</t>
  </si>
  <si>
    <t>US-2014-152030</t>
  </si>
  <si>
    <t>FUR-CH-10004063</t>
  </si>
  <si>
    <t>US-2014-134614</t>
  </si>
  <si>
    <t>FUR-TA-10004534</t>
  </si>
  <si>
    <t>US-2017-107272</t>
  </si>
  <si>
    <t>OFF-BI-10003274</t>
  </si>
  <si>
    <t>US-2016-125969</t>
  </si>
  <si>
    <t>US-2017-164147</t>
  </si>
  <si>
    <t>February</t>
  </si>
  <si>
    <t>TEC-PH-10002293</t>
  </si>
  <si>
    <t>CA-2016-145583</t>
  </si>
  <si>
    <t>OFF-PA-10001804</t>
  </si>
  <si>
    <t>CA-2016-110366</t>
  </si>
  <si>
    <t>FUR-FU-10004848</t>
  </si>
  <si>
    <t>CA-2017-106180</t>
  </si>
  <si>
    <t>OFF-AR-10000940</t>
  </si>
  <si>
    <t>CA-2017-155376</t>
  </si>
  <si>
    <t>OFF-AP-10001058</t>
  </si>
  <si>
    <t>CA-2015-110744</t>
  </si>
  <si>
    <t>CA-2014-110072</t>
  </si>
  <si>
    <t>FUR-FU-10000521</t>
  </si>
  <si>
    <t>CA-2016-158834</t>
  </si>
  <si>
    <t>OFF-AP-10000326</t>
  </si>
  <si>
    <t>CA-2015-124919</t>
  </si>
  <si>
    <t>OFF-PA-10001950</t>
  </si>
  <si>
    <t>CA-2015-118948</t>
  </si>
  <si>
    <t>OFF-AR-10001547</t>
  </si>
  <si>
    <t>CA-2014-104269</t>
  </si>
  <si>
    <t>CA-2016-114104</t>
  </si>
  <si>
    <t>OFF-LA-10002475</t>
  </si>
  <si>
    <t>CA-2016-162733</t>
  </si>
  <si>
    <t>OFF-PA-10002751</t>
  </si>
  <si>
    <t>CA-2015-119697</t>
  </si>
  <si>
    <t>TEC-AC-10003657</t>
  </si>
  <si>
    <t>CA-2016-154508</t>
  </si>
  <si>
    <t>OFF-EN-10001990</t>
  </si>
  <si>
    <t>CA-2016-113817</t>
  </si>
  <si>
    <t>OFF-BI-10004002</t>
  </si>
  <si>
    <t>CA-2014-139892</t>
  </si>
  <si>
    <t>OFF-AR-10004441</t>
  </si>
  <si>
    <t>CA-2014-118962</t>
  </si>
  <si>
    <t>OFF-PA-10000659</t>
  </si>
  <si>
    <t>US-2014-100853</t>
  </si>
  <si>
    <t>OFF-AP-10000891</t>
  </si>
  <si>
    <t>US-2017-152366</t>
  </si>
  <si>
    <t>OFF-AP-10002684</t>
  </si>
  <si>
    <t>US-2015-101511</t>
  </si>
  <si>
    <t>FUR-CH-10004698</t>
  </si>
  <si>
    <t>CA-2015-137225</t>
  </si>
  <si>
    <t>OFF-AR-10001940</t>
  </si>
  <si>
    <t>CA-2014-158274</t>
  </si>
  <si>
    <t>TEC-PH-10003273</t>
  </si>
  <si>
    <t>CA-2016-105018</t>
  </si>
  <si>
    <t>OFF-BI-10001890</t>
  </si>
  <si>
    <t>CA-2014-123260</t>
  </si>
  <si>
    <t>TEC-AC-10002323</t>
  </si>
  <si>
    <t>CA-2016-157000</t>
  </si>
  <si>
    <t>OFF-ST-10001328</t>
  </si>
  <si>
    <t>CA-2015-102281</t>
  </si>
  <si>
    <t>FUR-BO-10002613</t>
  </si>
  <si>
    <t>CA-2015-131457</t>
  </si>
  <si>
    <t>OFF-EN-10001509</t>
  </si>
  <si>
    <t>CA-2014-140004</t>
  </si>
  <si>
    <t>OFF-AR-10004685</t>
  </si>
  <si>
    <t>US-2017-124303</t>
  </si>
  <si>
    <t>OFF-BI-10000343</t>
  </si>
  <si>
    <t>CA-2017-105074</t>
  </si>
  <si>
    <t>OFF-PA-10002666</t>
  </si>
  <si>
    <t>CA-2014-133690</t>
  </si>
  <si>
    <t>FUR-TA-10004289</t>
  </si>
  <si>
    <t>US-2017-116701</t>
  </si>
  <si>
    <t>OFF-AP-10003217</t>
  </si>
  <si>
    <t>CA-2017-126382</t>
  </si>
  <si>
    <t>FUR-FU-10002960</t>
  </si>
  <si>
    <t>CA-2017-135860</t>
  </si>
  <si>
    <t>OFF-ST-10000642</t>
  </si>
  <si>
    <t>CA-2015-101007</t>
  </si>
  <si>
    <t>TEC-AC-10001266</t>
  </si>
  <si>
    <t>CA-2015-146262</t>
  </si>
  <si>
    <t>OFF-LA-10004544</t>
  </si>
  <si>
    <t>CA-2016-130162</t>
  </si>
  <si>
    <t>CA-2015-169397</t>
  </si>
  <si>
    <t>OFF-FA-10000585</t>
  </si>
  <si>
    <t>CA-2015-163055</t>
  </si>
  <si>
    <t>OFF-AR-10001026</t>
  </si>
  <si>
    <t>US-2015-145436</t>
  </si>
  <si>
    <t>FUR-CH-10004860</t>
  </si>
  <si>
    <t>US-2014-156216</t>
  </si>
  <si>
    <t>OFF-BI-10001679</t>
  </si>
  <si>
    <t>US-2017-100930</t>
  </si>
  <si>
    <t>FUR-TA-10001705</t>
  </si>
  <si>
    <t>CA-2017-160514</t>
  </si>
  <si>
    <t>OFF-PA-10002479</t>
  </si>
  <si>
    <t>CA-2014-131926</t>
  </si>
  <si>
    <t>CA-2016-154739</t>
  </si>
  <si>
    <t>FUR-CH-10002965</t>
  </si>
  <si>
    <t>CA-2016-145625</t>
  </si>
  <si>
    <t>OFF-PA-10004569</t>
  </si>
  <si>
    <t>US-2015-159982</t>
  </si>
  <si>
    <t>FUR-FU-10002505</t>
  </si>
  <si>
    <t>US-2017-155299</t>
  </si>
  <si>
    <t>OFF-AP-10002203</t>
  </si>
  <si>
    <t>US-2014-106992</t>
  </si>
  <si>
    <t>TEC-MA-10000822</t>
  </si>
  <si>
    <t>CA-2016-125318</t>
  </si>
  <si>
    <t>TEC-PH-10001433</t>
  </si>
  <si>
    <t>CA-2015-155040</t>
  </si>
  <si>
    <t>TEC-AC-10004469</t>
  </si>
  <si>
    <t>CA-2017-136826</t>
  </si>
  <si>
    <t>OFF-AR-10003602</t>
  </si>
  <si>
    <t>CA-2016-111010</t>
  </si>
  <si>
    <t>OFF-FA-10003472</t>
  </si>
  <si>
    <t>CA-2017-163979</t>
  </si>
  <si>
    <t>OFF-ST-10003208</t>
  </si>
  <si>
    <t>CA-2015-155334</t>
  </si>
  <si>
    <t>TEC-AC-10003628</t>
  </si>
  <si>
    <t>CA-2017-118136</t>
  </si>
  <si>
    <t>OFF-PA-10002615</t>
  </si>
  <si>
    <t>CA-2017-132976</t>
  </si>
  <si>
    <t>OFF-PA-10000673</t>
  </si>
  <si>
    <t>US-2015-161991</t>
  </si>
  <si>
    <t>OFF-BI-10004967</t>
  </si>
  <si>
    <t>CA-2015-130890</t>
  </si>
  <si>
    <t>FUR-TA-10002903</t>
  </si>
  <si>
    <t>CA-2016-112697</t>
  </si>
  <si>
    <t>OFF-BI-10000778</t>
  </si>
  <si>
    <t>US-2017-152380</t>
  </si>
  <si>
    <t>FUR-TA-10002533</t>
  </si>
  <si>
    <t>CA-2015-144253</t>
  </si>
  <si>
    <t>FUR-FU-10002671</t>
  </si>
  <si>
    <t>CA-2014-130960</t>
  </si>
  <si>
    <t>OFF-AR-10003651</t>
  </si>
  <si>
    <t>CA-2016-142902</t>
  </si>
  <si>
    <t>FUR-FU-10001918</t>
  </si>
  <si>
    <t>CA-2014-120887</t>
  </si>
  <si>
    <t>FUR-FU-10001588</t>
  </si>
  <si>
    <t>CA-2014-167850</t>
  </si>
  <si>
    <t>TEC-PH-10002398</t>
  </si>
  <si>
    <t>CA-2014-164259</t>
  </si>
  <si>
    <t>OFF-AR-10003373</t>
  </si>
  <si>
    <t>CA-2014-164973</t>
  </si>
  <si>
    <t>FUR-CH-10002602</t>
  </si>
  <si>
    <t>CA-2016-162138</t>
  </si>
  <si>
    <t>OFF-BI-10004593</t>
  </si>
  <si>
    <t>CA-2017-153339</t>
  </si>
  <si>
    <t>FUR-FU-10001967</t>
  </si>
  <si>
    <t>US-2016-141544</t>
  </si>
  <si>
    <t>TEC-PH-10003645</t>
  </si>
  <si>
    <t>US-2016-150147</t>
  </si>
  <si>
    <t>TEC-PH-10004614</t>
  </si>
  <si>
    <t>CA-2015-137946</t>
  </si>
  <si>
    <t>OFF-BI-10001922</t>
  </si>
  <si>
    <t>CA-2014-129924</t>
  </si>
  <si>
    <t>OFF-BI-10003314</t>
  </si>
  <si>
    <t>CA-2015-128167</t>
  </si>
  <si>
    <t>OFF-FA-10000490</t>
  </si>
  <si>
    <t>CA-2014-122336</t>
  </si>
  <si>
    <t>OFF-AR-10000122</t>
  </si>
  <si>
    <t>US-2015-120712</t>
  </si>
  <si>
    <t>CA-2017-169901</t>
  </si>
  <si>
    <t>CA-2017-134306</t>
  </si>
  <si>
    <t>OFF-AR-10004027</t>
  </si>
  <si>
    <t>CA-2016-129714</t>
  </si>
  <si>
    <t>TEC-AC-10000290</t>
  </si>
  <si>
    <t>CA-2016-138520</t>
  </si>
  <si>
    <t>FUR-BO-10002268</t>
  </si>
  <si>
    <t>CA-2017-155698</t>
  </si>
  <si>
    <t>OFF-AP-10001124</t>
  </si>
  <si>
    <t>CA-2017-144904</t>
  </si>
  <si>
    <t>OFF-LA-10001158</t>
  </si>
  <si>
    <t>CA-2014-123344</t>
  </si>
  <si>
    <t>CA-2016-155516</t>
  </si>
  <si>
    <t>OFF-BI-10002412</t>
  </si>
  <si>
    <t>CA-2017-104745</t>
  </si>
  <si>
    <t>OFF-PA-10002036</t>
  </si>
  <si>
    <t>US-2014-119137</t>
  </si>
  <si>
    <t>OFF-BI-10001982</t>
  </si>
  <si>
    <t>US-2016-134656</t>
  </si>
  <si>
    <t>OFF-PA-10003039</t>
  </si>
  <si>
    <t>US-2017-134481</t>
  </si>
  <si>
    <t>FUR-TA-10004915</t>
  </si>
  <si>
    <t>CA-2015-130792</t>
  </si>
  <si>
    <t>OFF-AP-10000696</t>
  </si>
  <si>
    <t>CA-2015-125395</t>
  </si>
  <si>
    <t>TEC-AC-10004708</t>
  </si>
  <si>
    <t>US-2015-168935</t>
  </si>
  <si>
    <t>FUR-TA-10000617</t>
  </si>
  <si>
    <t>CA-2015-122756</t>
  </si>
  <si>
    <t>TEC-MA-10001681</t>
  </si>
  <si>
    <t>CA-2014-115973</t>
  </si>
  <si>
    <t>OFF-AR-10004757</t>
  </si>
  <si>
    <t>CA-2017-101798</t>
  </si>
  <si>
    <t>OFF-BI-10000050</t>
  </si>
  <si>
    <t>US-2014-135972</t>
  </si>
  <si>
    <t>TEC-PH-10003012</t>
  </si>
  <si>
    <t>US-2014-134971</t>
  </si>
  <si>
    <t>OFF-BI-10003982</t>
  </si>
  <si>
    <t>CA-2017-102946</t>
  </si>
  <si>
    <t>OFF-BI-10004492</t>
  </si>
  <si>
    <t>CA-2017-165603</t>
  </si>
  <si>
    <t>OFF-ST-10000798</t>
  </si>
  <si>
    <t>CA-2016-108987</t>
  </si>
  <si>
    <t>OFF-ST-10001580</t>
  </si>
  <si>
    <t>CA-2014-113166</t>
  </si>
  <si>
    <t>OFF-PA-10001947</t>
  </si>
  <si>
    <t>CA-2014-155208</t>
  </si>
  <si>
    <t>OFF-AR-10003478</t>
  </si>
  <si>
    <t>CA-2017-117933</t>
  </si>
  <si>
    <t>OFF-AP-10004249</t>
  </si>
  <si>
    <t>CA-2017-117457</t>
  </si>
  <si>
    <t>TEC-AC-10000158</t>
  </si>
  <si>
    <t>CA-2016-148796</t>
  </si>
  <si>
    <t>FUR-CH-10004886</t>
  </si>
  <si>
    <t>CA-2017-110478</t>
  </si>
  <si>
    <t>OFF-AR-10001573</t>
  </si>
  <si>
    <t>CA-2014-142048</t>
  </si>
  <si>
    <t>TEC-AC-10004114</t>
  </si>
  <si>
    <t>CA-2017-155705</t>
  </si>
  <si>
    <t>FUR-CH-10000015</t>
  </si>
  <si>
    <t>CA-2014-101476</t>
  </si>
  <si>
    <t>TEC-MA-10000029</t>
  </si>
  <si>
    <t>CA-2017-152275</t>
  </si>
  <si>
    <t>OFF-AR-10000369</t>
  </si>
  <si>
    <t>US-2016-123750</t>
  </si>
  <si>
    <t>OFF-BI-10004584</t>
  </si>
  <si>
    <t>US-2014-150574</t>
  </si>
  <si>
    <t>OFF-BI-10000773</t>
  </si>
  <si>
    <t>CA-2017-130043</t>
  </si>
  <si>
    <t>OFF-PA-10002230</t>
  </si>
  <si>
    <t>CA-2017-157252</t>
  </si>
  <si>
    <t>FUR-CH-10003396</t>
  </si>
  <si>
    <t>CA-2017-154214</t>
  </si>
  <si>
    <t>FUR-FU-10000206</t>
  </si>
  <si>
    <t>CA-2016-166674</t>
  </si>
  <si>
    <t>OFF-AR-10000588</t>
  </si>
  <si>
    <t>CA-2017-147277</t>
  </si>
  <si>
    <t>FUR-TA-10001539</t>
  </si>
  <si>
    <t>CA-2016-100153</t>
  </si>
  <si>
    <t>TEC-AC-10001772</t>
  </si>
  <si>
    <t>US-2014-110674</t>
  </si>
  <si>
    <t>FUR-CH-10000225</t>
  </si>
  <si>
    <t>US-2016-157945</t>
  </si>
  <si>
    <t>FUR-CH-10002331</t>
  </si>
  <si>
    <t>CA-2016-109869</t>
  </si>
  <si>
    <t>FUR-FU-10000023</t>
  </si>
  <si>
    <t>US-2015-101399</t>
  </si>
  <si>
    <t>FUR-FU-10002918</t>
  </si>
  <si>
    <t>CA-2017-154907</t>
  </si>
  <si>
    <t>FUR-BO-10002824</t>
  </si>
  <si>
    <t>US-2016-100419</t>
  </si>
  <si>
    <t>OFF-BI-10002194</t>
  </si>
  <si>
    <t>CA-2014-144666</t>
  </si>
  <si>
    <t>OFF-ST-10002743</t>
  </si>
  <si>
    <t>CA-2016-103891</t>
  </si>
  <si>
    <t>TEC-PH-10000149</t>
  </si>
  <si>
    <t>CA-2016-152632</t>
  </si>
  <si>
    <t>CA-2016-100790</t>
  </si>
  <si>
    <t>OFF-AR-10003045</t>
  </si>
  <si>
    <t>CA-2014-134677</t>
  </si>
  <si>
    <t>TEC-AC-10001445</t>
  </si>
  <si>
    <t>CA-2014-127691</t>
  </si>
  <si>
    <t>CA-2017-140963</t>
  </si>
  <si>
    <t>OFF-LA-10003923</t>
  </si>
  <si>
    <t>CA-2014-154627</t>
  </si>
  <si>
    <t>TEC-PH-10001363</t>
  </si>
  <si>
    <t>CA-2016-169166</t>
  </si>
  <si>
    <t>TEC-AC-10000991</t>
  </si>
  <si>
    <t>US-2016-120929</t>
  </si>
  <si>
    <t>FUR-TA-10001857</t>
  </si>
  <si>
    <t>CA-2016-126158</t>
  </si>
  <si>
    <t>OFF-BI-10002498</t>
  </si>
  <si>
    <t>US-2016-105578</t>
  </si>
  <si>
    <t>OFF-BI-10001670</t>
  </si>
  <si>
    <t>CA-2015-145352</t>
  </si>
  <si>
    <t>OFF-AR-10001662</t>
  </si>
  <si>
    <t>CA-2017-135307</t>
  </si>
  <si>
    <t>FUR-FU-10001290</t>
  </si>
  <si>
    <t>CA-2016-106341</t>
  </si>
  <si>
    <t>CA-2017-163405</t>
  </si>
  <si>
    <t>OFF-AR-10003811</t>
  </si>
  <si>
    <t>CA-2017-127432</t>
  </si>
  <si>
    <t>TEC-CO-10003236</t>
  </si>
  <si>
    <t>CA-2015-157812</t>
  </si>
  <si>
    <t>CA-2017-145142</t>
  </si>
  <si>
    <t>US-2016-139486</t>
  </si>
  <si>
    <t>TEC-PH-10003555</t>
  </si>
  <si>
    <t>CA-2015-158792</t>
  </si>
  <si>
    <t>OFF-FA-10002815</t>
  </si>
  <si>
    <t>CA-2017-113558</t>
  </si>
  <si>
    <t>FUR-CH-10003379</t>
  </si>
  <si>
    <t>CA-2015-102848</t>
  </si>
  <si>
    <t>FUR-CH-10000595</t>
  </si>
  <si>
    <t>US-2017-129441</t>
  </si>
  <si>
    <t>FUR-FU-10000448</t>
  </si>
  <si>
    <t>CA-2016-168753</t>
  </si>
  <si>
    <t>TEC-PH-10000984</t>
  </si>
  <si>
    <t>CA-2016-126613</t>
  </si>
  <si>
    <t>OFF-ST-10001325</t>
  </si>
  <si>
    <t>US-2017-122637</t>
  </si>
  <si>
    <t>OFF-BI-10002429</t>
  </si>
  <si>
    <t>CA-2015-134894</t>
  </si>
  <si>
    <t>OFF-AP-10001271</t>
  </si>
  <si>
    <t>CA-2014-140795</t>
  </si>
  <si>
    <t>TEC-AC-10001432</t>
  </si>
  <si>
    <t>CA-2016-136924</t>
  </si>
  <si>
    <t>TEC-PH-10002262</t>
  </si>
  <si>
    <t>US-2015-120161</t>
  </si>
  <si>
    <t>OFF-ST-10001809</t>
  </si>
  <si>
    <t>CA-2014-103849</t>
  </si>
  <si>
    <t>TEC-AC-10001465</t>
  </si>
  <si>
    <t>CA-2015-113173</t>
  </si>
  <si>
    <t>CA-2017-112774</t>
  </si>
  <si>
    <t>FUR-FU-10003039</t>
  </si>
  <si>
    <t>CA-2017-101945</t>
  </si>
  <si>
    <t>OFF-FA-10004248</t>
  </si>
  <si>
    <t>CA-2017-100650</t>
  </si>
  <si>
    <t>OFF-ST-10001780</t>
  </si>
  <si>
    <t>CA-2014-155852</t>
  </si>
  <si>
    <t>OFF-AR-10003560</t>
  </si>
  <si>
    <t>CA-2016-113243</t>
  </si>
  <si>
    <t>OFF-LA-10001297</t>
  </si>
  <si>
    <t>CA-2017-118731</t>
  </si>
  <si>
    <t>FUR-FU-10003347</t>
  </si>
  <si>
    <t>CA-2017-137099</t>
  </si>
  <si>
    <t>TEC-PH-10002496</t>
  </si>
  <si>
    <t>CA-2015-149713</t>
  </si>
  <si>
    <t>OFF-PA-10004530</t>
  </si>
  <si>
    <t>CA-2017-118640</t>
  </si>
  <si>
    <t>OFF-ST-10002974</t>
  </si>
  <si>
    <t>CA-2015-132906</t>
  </si>
  <si>
    <t>OFF-SU-10004498</t>
  </si>
  <si>
    <t>CA-2015-128139</t>
  </si>
  <si>
    <t>FUR-CH-10003956</t>
  </si>
  <si>
    <t>US-2016-156986</t>
  </si>
  <si>
    <t>TEC-PH-10003800</t>
  </si>
  <si>
    <t>CA-2014-135405</t>
  </si>
  <si>
    <t>OFF-AR-10004078</t>
  </si>
  <si>
    <t>CA-2014-131450</t>
  </si>
  <si>
    <t>OFF-AP-10004708</t>
  </si>
  <si>
    <t>CA-2014-149958</t>
  </si>
  <si>
    <t>OFF-ST-10001490</t>
  </si>
  <si>
    <t>US-2014-105767</t>
  </si>
  <si>
    <t>OFF-BI-10000848</t>
  </si>
  <si>
    <t>CA-2016-161816</t>
  </si>
  <si>
    <t>CA-2017-138611</t>
  </si>
  <si>
    <t>TEC-PH-10000011</t>
  </si>
  <si>
    <t>CA-2017-117947</t>
  </si>
  <si>
    <t>FUR-FU-10003849</t>
  </si>
  <si>
    <t>CA-2015-138009</t>
  </si>
  <si>
    <t>FUR-CH-10004853</t>
  </si>
  <si>
    <t>CA-2017-153787</t>
  </si>
  <si>
    <t>OFF-AP-10001563</t>
  </si>
  <si>
    <t>CA-2017-144694</t>
  </si>
  <si>
    <t>TEC-AC-10002857</t>
  </si>
  <si>
    <t>CA-2015-168004</t>
  </si>
  <si>
    <t>FUR-CH-10001482</t>
  </si>
  <si>
    <t>US-2016-123470</t>
  </si>
  <si>
    <t>OFF-BI-10001989</t>
  </si>
  <si>
    <t>CA-2016-115917</t>
  </si>
  <si>
    <t>FUR-FU-10000576</t>
  </si>
  <si>
    <t>CA-2017-167913</t>
  </si>
  <si>
    <t>OFF-ST-10000585</t>
  </si>
  <si>
    <t>US-2017-127719</t>
  </si>
  <si>
    <t>OFF-PA-10001934</t>
  </si>
  <si>
    <t>CA-2017-126221</t>
  </si>
  <si>
    <t>OFF-AP-10002457</t>
  </si>
  <si>
    <t>CA-2016-132661</t>
  </si>
  <si>
    <t>CA-2017-140844</t>
  </si>
  <si>
    <t>OFF-PA-10003892</t>
  </si>
  <si>
    <t>CA-2016-137239</t>
  </si>
  <si>
    <t>OFF-AP-10002439</t>
  </si>
  <si>
    <t>US-2016-156097</t>
  </si>
  <si>
    <t>FUR-CH-10001215</t>
  </si>
  <si>
    <t>CA-2015-146563</t>
  </si>
  <si>
    <t>CA-2016-123666</t>
  </si>
  <si>
    <t>OFF-ST-10001522</t>
  </si>
  <si>
    <t>CA-2016-143308</t>
  </si>
  <si>
    <t>US-2017-106663</t>
  </si>
  <si>
    <t>FUR-FU-10002759</t>
  </si>
  <si>
    <t>CA-2017-130351</t>
  </si>
  <si>
    <t>OFF-AP-10004532</t>
  </si>
  <si>
    <t>US-2017-119438</t>
  </si>
  <si>
    <t>OFF-AP-10000804</t>
  </si>
  <si>
    <t>CA-2016-164511</t>
  </si>
  <si>
    <t>OFF-BI-10003305</t>
  </si>
  <si>
    <t>US-2017-168116</t>
  </si>
  <si>
    <t>TEC-MA-10004125</t>
  </si>
  <si>
    <t>CA-2014-157784</t>
  </si>
  <si>
    <t>TEC-AC-10003911</t>
  </si>
  <si>
    <t>US-2014-117135</t>
  </si>
  <si>
    <t>FUR-FU-10004071</t>
  </si>
  <si>
    <t>CA-2015-131534</t>
  </si>
  <si>
    <t>TEC-AC-10002253</t>
  </si>
  <si>
    <t>CA-2015-119291</t>
  </si>
  <si>
    <t>CA-2017-114552</t>
  </si>
  <si>
    <t>CA-2015-142027</t>
  </si>
  <si>
    <t>FUR-TA-10002774</t>
  </si>
  <si>
    <t>CA-2014-112158</t>
  </si>
  <si>
    <t>CA-2014-113887</t>
  </si>
  <si>
    <t>OFF-PA-10004071</t>
  </si>
  <si>
    <t>CA-2014-153150</t>
  </si>
  <si>
    <t>OFF-BI-10003355</t>
  </si>
  <si>
    <t>CA-2014-130092</t>
  </si>
  <si>
    <t>FUR-FU-10000010</t>
  </si>
  <si>
    <t>CA-2014-104472</t>
  </si>
  <si>
    <t>OFF-BI-10001658</t>
  </si>
  <si>
    <t>CA-2016-112942</t>
  </si>
  <si>
    <t>OFF-PA-10004092</t>
  </si>
  <si>
    <t>CA-2016-142335</t>
  </si>
  <si>
    <t>FUR-TA-10000198</t>
  </si>
  <si>
    <t>CA-2014-117429</t>
  </si>
  <si>
    <t>FUR-FU-10000222</t>
  </si>
  <si>
    <t>CA-2016-114713</t>
  </si>
  <si>
    <t>OFF-SU-10004664</t>
  </si>
  <si>
    <t>US-2016-150861</t>
  </si>
  <si>
    <t>OFF-PA-10001954</t>
  </si>
  <si>
    <t>CA-2017-131954</t>
  </si>
  <si>
    <t>OFF-ST-10000736</t>
  </si>
  <si>
    <t>CA-2014-112326</t>
  </si>
  <si>
    <t>OFF-LA-10003223</t>
  </si>
  <si>
    <t>US-2016-146710</t>
  </si>
  <si>
    <t>CA-2014-124429</t>
  </si>
  <si>
    <t>FUR-TA-10002607</t>
  </si>
  <si>
    <t>CA-2017-126074</t>
  </si>
  <si>
    <t>OFF-BI-10003638</t>
  </si>
  <si>
    <t>CA-2016-110499</t>
  </si>
  <si>
    <t>TEC-CO-10002095</t>
  </si>
  <si>
    <t>CA-2014-106803</t>
  </si>
  <si>
    <t>OFF-ST-10002444</t>
  </si>
  <si>
    <t>CA-2017-117240</t>
  </si>
  <si>
    <t>CA-2015-112319</t>
  </si>
  <si>
    <t>OFF-PA-10003441</t>
  </si>
  <si>
    <t>CA-2015-114923</t>
  </si>
  <si>
    <t>TEC-PH-10003931</t>
  </si>
  <si>
    <t>CA-2014-162775</t>
  </si>
  <si>
    <t>CA-2014-106810</t>
  </si>
  <si>
    <t>FUR-FU-10004306</t>
  </si>
  <si>
    <t>CA-2016-157245</t>
  </si>
  <si>
    <t>FUR-CH-10003746</t>
  </si>
  <si>
    <t>CA-2017-104220</t>
  </si>
  <si>
    <t>OFF-BI-10001036</t>
  </si>
  <si>
    <t>CA-2014-165974</t>
  </si>
  <si>
    <t>OFF-AR-10003405</t>
  </si>
  <si>
    <t>CA-2015-144267</t>
  </si>
  <si>
    <t>FUR-CH-10002335</t>
  </si>
  <si>
    <t>US-2015-157014</t>
  </si>
  <si>
    <t>OFF-BI-10001098</t>
  </si>
  <si>
    <t>CA-2015-154921</t>
  </si>
  <si>
    <t>OFF-EN-10000056</t>
  </si>
  <si>
    <t>CA-2017-129567</t>
  </si>
  <si>
    <t>OFF-BI-10000014</t>
  </si>
  <si>
    <t>CA-2015-154620</t>
  </si>
  <si>
    <t>FUR-CH-10004675</t>
  </si>
  <si>
    <t>CA-2017-151428</t>
  </si>
  <si>
    <t>OFF-BI-10000546</t>
  </si>
  <si>
    <t>CA-2017-105809</t>
  </si>
  <si>
    <t>FUR-FU-10004090</t>
  </si>
  <si>
    <t>CA-2016-136133</t>
  </si>
  <si>
    <t>OFF-AP-10000576</t>
  </si>
  <si>
    <t>CA-2016-115504</t>
  </si>
  <si>
    <t>OFF-PA-10003953</t>
  </si>
  <si>
    <t>CA-2017-135783</t>
  </si>
  <si>
    <t>FUR-FU-10000794</t>
  </si>
  <si>
    <t>CA-2014-134313</t>
  </si>
  <si>
    <t>OFF-AR-10001897</t>
  </si>
  <si>
    <t>CA-2015-140921</t>
  </si>
  <si>
    <t>CA-2014-151995</t>
  </si>
  <si>
    <t>OFF-AR-10003190</t>
  </si>
  <si>
    <t>CA-2017-143686</t>
  </si>
  <si>
    <t>CA-2015-106565</t>
  </si>
  <si>
    <t>OFF-PA-10000061</t>
  </si>
  <si>
    <t>CA-2016-149370</t>
  </si>
  <si>
    <t>OFF-PA-10003651</t>
  </si>
  <si>
    <t>CA-2014-140858</t>
  </si>
  <si>
    <t>OFF-PA-10000304</t>
  </si>
  <si>
    <t>CA-2017-101434</t>
  </si>
  <si>
    <t>TEC-AC-10002402</t>
  </si>
  <si>
    <t>US-2014-102071</t>
  </si>
  <si>
    <t>TEC-AC-10003441</t>
  </si>
  <si>
    <t>CA-2016-165316</t>
  </si>
  <si>
    <t>OFF-AR-10002956</t>
  </si>
  <si>
    <t>US-2016-137547</t>
  </si>
  <si>
    <t>TEC-PH-10002365</t>
  </si>
  <si>
    <t>CA-2015-100454</t>
  </si>
  <si>
    <t>OFF-AR-10004648</t>
  </si>
  <si>
    <t>CA-2015-114300</t>
  </si>
  <si>
    <t>TEC-PH-10001552</t>
  </si>
  <si>
    <t>CA-2017-107503</t>
  </si>
  <si>
    <t>FUR-FU-10003878</t>
  </si>
  <si>
    <t>CA-2014-107755</t>
  </si>
  <si>
    <t>TEC-AC-10000710</t>
  </si>
  <si>
    <t>CA-2016-113747</t>
  </si>
  <si>
    <t>CA-2016-123274</t>
  </si>
  <si>
    <t>CA-2017-161984</t>
  </si>
  <si>
    <t>CA-2016-134474</t>
  </si>
  <si>
    <t>TEC-AC-10001714</t>
  </si>
  <si>
    <t>CA-2014-149020</t>
  </si>
  <si>
    <t>OFF-LA-10004272</t>
  </si>
  <si>
    <t>CA-2016-134362</t>
  </si>
  <si>
    <t>OFF-LA-10004853</t>
  </si>
  <si>
    <t>CA-2014-136742</t>
  </si>
  <si>
    <t>OFF-BI-10003719</t>
  </si>
  <si>
    <t>CA-2016-158099</t>
  </si>
  <si>
    <t>OFF-BI-10000545</t>
  </si>
  <si>
    <t>CA-2015-131128</t>
  </si>
  <si>
    <t>OFF-PA-10003591</t>
  </si>
  <si>
    <t>CA-2014-148488</t>
  </si>
  <si>
    <t>OFF-PA-10004470</t>
  </si>
  <si>
    <t>CA-2017-114636</t>
  </si>
  <si>
    <t>OFF-PA-10001790</t>
  </si>
  <si>
    <t>CA-2016-116736</t>
  </si>
  <si>
    <t>FUR-FU-10004017</t>
  </si>
  <si>
    <t>US-2014-158638</t>
  </si>
  <si>
    <t>OFF-BI-10003712</t>
  </si>
  <si>
    <t>CA-2017-111689</t>
  </si>
  <si>
    <t>OFF-BI-10003984</t>
  </si>
  <si>
    <t>CA-2015-129098</t>
  </si>
  <si>
    <t>OFF-ST-10001321</t>
  </si>
  <si>
    <t>US-2017-123463</t>
  </si>
  <si>
    <t>OFF-AR-10001118</t>
  </si>
  <si>
    <t>CA-2016-165148</t>
  </si>
  <si>
    <t>FUR-FU-10000732</t>
  </si>
  <si>
    <t>CA-2014-134061</t>
  </si>
  <si>
    <t>FUR-FU-10001424</t>
  </si>
  <si>
    <t>CA-2015-143602</t>
  </si>
  <si>
    <t>OFF-BI-10002071</t>
  </si>
  <si>
    <t>CA-2017-115364</t>
  </si>
  <si>
    <t>OFF-ST-10002486</t>
  </si>
  <si>
    <t>CA-2017-150707</t>
  </si>
  <si>
    <t>OFF-BI-10001078</t>
  </si>
  <si>
    <t>CA-2014-104976</t>
  </si>
  <si>
    <t>OFF-PA-10003845</t>
  </si>
  <si>
    <t>CA-2016-105494</t>
  </si>
  <si>
    <t>OFF-ST-10002205</t>
  </si>
  <si>
    <t>CA-2016-140634</t>
  </si>
  <si>
    <t>OFF-EN-10001099</t>
  </si>
  <si>
    <t>CA-2014-144407</t>
  </si>
  <si>
    <t>CA-2017-160983</t>
  </si>
  <si>
    <t>OFF-PA-10002250</t>
  </si>
  <si>
    <t>US-2016-114622</t>
  </si>
  <si>
    <t>OFF-BI-10004716</t>
  </si>
  <si>
    <t>CA-2017-150959</t>
  </si>
  <si>
    <t>OFF-LA-10001045</t>
  </si>
  <si>
    <t>CA-2017-102519</t>
  </si>
  <si>
    <t>FUR-FU-10004091</t>
  </si>
  <si>
    <t>US-2014-141215</t>
  </si>
  <si>
    <t>FUR-TA-10001520</t>
  </si>
  <si>
    <t>CA-2016-165218</t>
  </si>
  <si>
    <t>CA-2015-111164</t>
  </si>
  <si>
    <t>TEC-AC-10002473</t>
  </si>
  <si>
    <t>CA-2015-115091</t>
  </si>
  <si>
    <t>OFF-AR-10000658</t>
  </si>
  <si>
    <t>CA-2017-144932</t>
  </si>
  <si>
    <t>CA-2015-148250</t>
  </si>
  <si>
    <t>OFF-PA-10000289</t>
  </si>
  <si>
    <t>CA-2016-105760</t>
  </si>
  <si>
    <t>OFF-PA-10000350</t>
  </si>
  <si>
    <t>CA-2015-120880</t>
  </si>
  <si>
    <t>OFF-PA-10004101</t>
  </si>
  <si>
    <t>US-2015-140200</t>
  </si>
  <si>
    <t>FUR-TA-10002356</t>
  </si>
  <si>
    <t>US-2017-110576</t>
  </si>
  <si>
    <t>FUR-FU-10003601</t>
  </si>
  <si>
    <t>CA-2017-131156</t>
  </si>
  <si>
    <t>FUR-FU-10001940</t>
  </si>
  <si>
    <t>CA-2017-102414</t>
  </si>
  <si>
    <t>TEC-PH-10002923</t>
  </si>
  <si>
    <t>CA-2015-112571</t>
  </si>
  <si>
    <t>FUR-FU-10004188</t>
  </si>
  <si>
    <t>CA-2014-127488</t>
  </si>
  <si>
    <t>OFF-LA-10001613</t>
  </si>
  <si>
    <t>CA-2017-135279</t>
  </si>
  <si>
    <t>OFF-LA-10004055</t>
  </si>
  <si>
    <t>CA-2014-115791</t>
  </si>
  <si>
    <t>FUR-FU-10001095</t>
  </si>
  <si>
    <t>US-2017-103247</t>
  </si>
  <si>
    <t>US-2017-100209</t>
  </si>
  <si>
    <t>OFF-BI-10002012</t>
  </si>
  <si>
    <t>CA-2017-159366</t>
  </si>
  <si>
    <t>CA-2015-157035</t>
  </si>
  <si>
    <t>OFF-PA-10004156</t>
  </si>
  <si>
    <t>CA-2017-100314</t>
  </si>
  <si>
    <t>OFF-LA-10001569</t>
  </si>
  <si>
    <t>CA-2015-146829</t>
  </si>
  <si>
    <t>OFF-BI-10004022</t>
  </si>
  <si>
    <t>CA-2017-167899</t>
  </si>
  <si>
    <t>CA-2015-153549</t>
  </si>
  <si>
    <t>FUR-CH-10004086</t>
  </si>
  <si>
    <t>CA-2016-110023</t>
  </si>
  <si>
    <t>CA-2016-105585</t>
  </si>
  <si>
    <t>OFF-FA-10002983</t>
  </si>
  <si>
    <t>CA-2014-117639</t>
  </si>
  <si>
    <t>OFF-BI-10003925</t>
  </si>
  <si>
    <t>CA-2015-162537</t>
  </si>
  <si>
    <t>OFF-EN-10003862</t>
  </si>
  <si>
    <t>CA-2016-155488</t>
  </si>
  <si>
    <t>CA-2015-124891</t>
  </si>
  <si>
    <t>TEC-AC-10003033</t>
  </si>
  <si>
    <t>CA-2015-126445</t>
  </si>
  <si>
    <t>OFF-ST-10000046</t>
  </si>
  <si>
    <t>CA-2015-105312</t>
  </si>
  <si>
    <t>OFF-EN-10002600</t>
  </si>
  <si>
    <t>US-2017-106705</t>
  </si>
  <si>
    <t>OFF-PA-10001509</t>
  </si>
  <si>
    <t>CA-2017-135034</t>
  </si>
  <si>
    <t>US-2015-126214</t>
  </si>
  <si>
    <t>FUR-TA-10003748</t>
  </si>
  <si>
    <t>CA-2015-108665</t>
  </si>
  <si>
    <t>FUR-FU-10002191</t>
  </si>
  <si>
    <t>CA-2015-124450</t>
  </si>
  <si>
    <t>OFF-AR-10001166</t>
  </si>
  <si>
    <t>CA-2015-167269</t>
  </si>
  <si>
    <t>OFF-EN-10003072</t>
  </si>
  <si>
    <t>CA-2016-126529</t>
  </si>
  <si>
    <t>OFF-PA-10001166</t>
  </si>
  <si>
    <t>CA-2014-163552</t>
  </si>
  <si>
    <t>OFF-PA-10000474</t>
  </si>
  <si>
    <t>CA-2015-127418</t>
  </si>
  <si>
    <t>OFF-BI-10003707</t>
  </si>
  <si>
    <t>CA-2017-152702</t>
  </si>
  <si>
    <t>FUR-CH-10002304</t>
  </si>
  <si>
    <t>CA-2016-169103</t>
  </si>
  <si>
    <t>TEC-PH-10001530</t>
  </si>
  <si>
    <t>CA-2015-110667</t>
  </si>
  <si>
    <t>OFF-AR-10000716</t>
  </si>
  <si>
    <t>CA-2017-167150</t>
  </si>
  <si>
    <t>OFF-BI-10001097</t>
  </si>
  <si>
    <t>CA-2016-105284</t>
  </si>
  <si>
    <t>OFF-FA-10001754</t>
  </si>
  <si>
    <t>US-2015-125374</t>
  </si>
  <si>
    <t>CA-2015-161263</t>
  </si>
  <si>
    <t>OFF-AP-10002350</t>
  </si>
  <si>
    <t>CA-2016-157686</t>
  </si>
  <si>
    <t>US-2017-139955</t>
  </si>
  <si>
    <t>OFF-SU-10001935</t>
  </si>
  <si>
    <t>US-2015-150161</t>
  </si>
  <si>
    <t>OFF-BI-10001524</t>
  </si>
  <si>
    <t>CA-2016-134348</t>
  </si>
  <si>
    <t>OFF-BI-10003727</t>
  </si>
  <si>
    <t>CA-2017-132521</t>
  </si>
  <si>
    <t>OFF-AP-10002191</t>
  </si>
  <si>
    <t>US-2016-143819</t>
  </si>
  <si>
    <t>FUR-TA-10001095</t>
  </si>
  <si>
    <t>CA-2016-167584</t>
  </si>
  <si>
    <t>OFF-PA-10000029</t>
  </si>
  <si>
    <t>CA-2017-158407</t>
  </si>
  <si>
    <t>CA-2015-143490</t>
  </si>
  <si>
    <t>OFF-AR-10002952</t>
  </si>
  <si>
    <t>CA-2014-159338</t>
  </si>
  <si>
    <t>FUR-TA-10004147</t>
  </si>
  <si>
    <t>CA-2016-107216</t>
  </si>
  <si>
    <t>OFF-AR-10001545</t>
  </si>
  <si>
    <t>CA-2017-140585</t>
  </si>
  <si>
    <t>OFF-BI-10003364</t>
  </si>
  <si>
    <t>CA-2016-144855</t>
  </si>
  <si>
    <t>OFF-LA-10003766</t>
  </si>
  <si>
    <t>CA-2015-142755</t>
  </si>
  <si>
    <t>OFF-PA-10001970</t>
  </si>
  <si>
    <t>US-2014-147627</t>
  </si>
  <si>
    <t>TEC-PH-10001061</t>
  </si>
  <si>
    <t>CA-2016-112102</t>
  </si>
  <si>
    <t>FUR-TA-10004086</t>
  </si>
  <si>
    <t>US-2016-114776</t>
  </si>
  <si>
    <t>OFF-PA-10004100</t>
  </si>
  <si>
    <t>US-2016-134908</t>
  </si>
  <si>
    <t>CA-2014-146969</t>
  </si>
  <si>
    <t>CA-2015-113971</t>
  </si>
  <si>
    <t>FUR-FU-10001852</t>
  </si>
  <si>
    <t>CA-2017-160395</t>
  </si>
  <si>
    <t>OFF-AR-10003759</t>
  </si>
  <si>
    <t>CA-2014-136567</t>
  </si>
  <si>
    <t>OFF-ST-10004337</t>
  </si>
  <si>
    <t>CA-2016-149314</t>
  </si>
  <si>
    <t>FUR-CH-10002126</t>
  </si>
  <si>
    <t>CA-2014-126522</t>
  </si>
  <si>
    <t>OFF-AR-10004042</t>
  </si>
  <si>
    <t>CA-2014-117709</t>
  </si>
  <si>
    <t>OFF-BI-10001294</t>
  </si>
  <si>
    <t>US-2014-100279</t>
  </si>
  <si>
    <t>OFF-PA-10002259</t>
  </si>
  <si>
    <t>CA-2014-158064</t>
  </si>
  <si>
    <t>OFF-BI-10002976</t>
  </si>
  <si>
    <t>US-2015-104430</t>
  </si>
  <si>
    <t>OFF-BI-10000301</t>
  </si>
  <si>
    <t>CA-2015-132080</t>
  </si>
  <si>
    <t>OFF-BI-10003694</t>
  </si>
  <si>
    <t>CA-2014-120243</t>
  </si>
  <si>
    <t>OFF-LA-10004425</t>
  </si>
  <si>
    <t>CA-2016-168081</t>
  </si>
  <si>
    <t>TEC-AC-10003174</t>
  </si>
  <si>
    <t>CA-2017-138779</t>
  </si>
  <si>
    <t>OFF-EN-10002504</t>
  </si>
  <si>
    <t>CA-2017-117212</t>
  </si>
  <si>
    <t>US-2015-130519</t>
  </si>
  <si>
    <t>OFF-PA-10001937</t>
  </si>
  <si>
    <t>CA-2016-114727</t>
  </si>
  <si>
    <t>US-2017-118087</t>
  </si>
  <si>
    <t>CA-2016-126004</t>
  </si>
  <si>
    <t>FUR-FU-10001602</t>
  </si>
  <si>
    <t>CA-2014-127012</t>
  </si>
  <si>
    <t>FUR-FU-10003691</t>
  </si>
  <si>
    <t>US-2016-162859</t>
  </si>
  <si>
    <t>OFF-BI-10004519</t>
  </si>
  <si>
    <t>CA-2014-168494</t>
  </si>
  <si>
    <t>FUR-TA-10004619</t>
  </si>
  <si>
    <t>CA-2015-154956</t>
  </si>
  <si>
    <t>TEC-PH-10004165</t>
  </si>
  <si>
    <t>CA-2017-144638</t>
  </si>
  <si>
    <t>OFF-AR-10003958</t>
  </si>
  <si>
    <t>US-2016-168620</t>
  </si>
  <si>
    <t>OFF-BI-10001575</t>
  </si>
  <si>
    <t>CA-2017-117079</t>
  </si>
  <si>
    <t>TEC-PH-10004586</t>
  </si>
  <si>
    <t>CA-2017-105053</t>
  </si>
  <si>
    <t>US-2016-103646</t>
  </si>
  <si>
    <t>OFF-ST-10000563</t>
  </si>
  <si>
    <t>CA-2016-119186</t>
  </si>
  <si>
    <t>OFF-PA-10004621</t>
  </si>
  <si>
    <t>CA-2016-148698</t>
  </si>
  <si>
    <t>OFF-AR-10004022</t>
  </si>
  <si>
    <t>CA-2016-154711</t>
  </si>
  <si>
    <t>FUR-FU-10000397</t>
  </si>
  <si>
    <t>CA-2015-138898</t>
  </si>
  <si>
    <t>OFF-AP-10004487</t>
  </si>
  <si>
    <t>CA-2016-137043</t>
  </si>
  <si>
    <t>FUR-FU-10003664</t>
  </si>
  <si>
    <t>CA-2015-115847</t>
  </si>
  <si>
    <t>FUR-BO-10003433</t>
  </si>
  <si>
    <t>US-2017-126179</t>
  </si>
  <si>
    <t>FUR-FU-10002554</t>
  </si>
  <si>
    <t>US-2016-134488</t>
  </si>
  <si>
    <t>FUR-CH-10003199</t>
  </si>
  <si>
    <t>CA-2017-167703</t>
  </si>
  <si>
    <t>CA-2017-121804</t>
  </si>
  <si>
    <t>OFF-AP-10004859</t>
  </si>
  <si>
    <t>CA-2017-162635</t>
  </si>
  <si>
    <t>OFF-PA-10002659</t>
  </si>
  <si>
    <t>CA-2014-107153</t>
  </si>
  <si>
    <t>CA-2015-120439</t>
  </si>
  <si>
    <t>FUR-FU-10001867</t>
  </si>
  <si>
    <t>CA-2016-128258</t>
  </si>
  <si>
    <t>CA-2017-106033</t>
  </si>
  <si>
    <t>OFF-AR-10002818</t>
  </si>
  <si>
    <t>CA-2016-142762</t>
  </si>
  <si>
    <t>CA-2017-127705</t>
  </si>
  <si>
    <t>TEC-PH-10000347</t>
  </si>
  <si>
    <t>CA-2014-122567</t>
  </si>
  <si>
    <t>CA-2014-121664</t>
  </si>
  <si>
    <t>OFF-BI-10003684</t>
  </si>
  <si>
    <t>CA-2016-122133</t>
  </si>
  <si>
    <t>OFF-ST-10002574</t>
  </si>
  <si>
    <t>US-2017-123281</t>
  </si>
  <si>
    <t>FUR-FU-10003724</t>
  </si>
  <si>
    <t>CA-2017-113481</t>
  </si>
  <si>
    <t>TEC-MA-10002178</t>
  </si>
  <si>
    <t>CA-2014-118339</t>
  </si>
  <si>
    <t>OFF-AP-10001154</t>
  </si>
  <si>
    <t>CA-2014-153976</t>
  </si>
  <si>
    <t>FUR-CH-10002880</t>
  </si>
  <si>
    <t>CA-2016-162901</t>
  </si>
  <si>
    <t>OFF-ST-10000649</t>
  </si>
  <si>
    <t>CA-2017-162978</t>
  </si>
  <si>
    <t>TEC-PH-10003092</t>
  </si>
  <si>
    <t>CA-2016-145247</t>
  </si>
  <si>
    <t>OFF-PA-10003641</t>
  </si>
  <si>
    <t>CA-2017-160045</t>
  </si>
  <si>
    <t>US-2014-151925</t>
  </si>
  <si>
    <t>FUR-CH-10002961</t>
  </si>
  <si>
    <t>US-2017-155425</t>
  </si>
  <si>
    <t>CA-2017-136672</t>
  </si>
  <si>
    <t>TEC-AC-10004510</t>
  </si>
  <si>
    <t>US-2014-157021</t>
  </si>
  <si>
    <t>OFF-LA-10002312</t>
  </si>
  <si>
    <t>CA-2015-120362</t>
  </si>
  <si>
    <t>FUR-TA-10003008</t>
  </si>
  <si>
    <t>CA-2014-126361</t>
  </si>
  <si>
    <t>OFF-AP-10003590</t>
  </si>
  <si>
    <t>US-2016-108504</t>
  </si>
  <si>
    <t>OFF-ST-10002344</t>
  </si>
  <si>
    <t>CA-2016-159212</t>
  </si>
  <si>
    <t>TEC-PH-10003988</t>
  </si>
  <si>
    <t>US-2016-161396</t>
  </si>
  <si>
    <t>FUR-TA-10002622</t>
  </si>
  <si>
    <t>CA-2016-130407</t>
  </si>
  <si>
    <t>OFF-AR-10002240</t>
  </si>
  <si>
    <t>US-2016-122245</t>
  </si>
  <si>
    <t>CA-2016-136329</t>
  </si>
  <si>
    <t>CA-2014-146640</t>
  </si>
  <si>
    <t>OFF-BI-10002867</t>
  </si>
  <si>
    <t>CA-2017-115994</t>
  </si>
  <si>
    <t>TEC-AC-10000580</t>
  </si>
  <si>
    <t>CA-2015-126697</t>
  </si>
  <si>
    <t>TEC-PH-10002922</t>
  </si>
  <si>
    <t>US-2016-153129</t>
  </si>
  <si>
    <t>OFF-PA-10003673</t>
  </si>
  <si>
    <t>CA-2017-122735</t>
  </si>
  <si>
    <t>OFF-BI-10004364</t>
  </si>
  <si>
    <t>CA-2017-128160</t>
  </si>
  <si>
    <t>OFF-BI-10001510</t>
  </si>
  <si>
    <t>CA-2017-117695</t>
  </si>
  <si>
    <t>OFF-PA-10002713</t>
  </si>
  <si>
    <t>CA-2015-166135</t>
  </si>
  <si>
    <t>CA-2017-102337</t>
  </si>
  <si>
    <t>OFF-ST-10004804</t>
  </si>
  <si>
    <t>US-2014-112564</t>
  </si>
  <si>
    <t>OFF-BI-10004876</t>
  </si>
  <si>
    <t>CA-2015-145821</t>
  </si>
  <si>
    <t>TEC-PH-10004348</t>
  </si>
  <si>
    <t>US-2015-160150</t>
  </si>
  <si>
    <t>OFF-BI-10004352</t>
  </si>
  <si>
    <t>CA-2016-133711</t>
  </si>
  <si>
    <t>OFF-PA-10001685</t>
  </si>
  <si>
    <t>CA-2017-148474</t>
  </si>
  <si>
    <t>OFF-BI-10000977</t>
  </si>
  <si>
    <t>CA-2015-111297</t>
  </si>
  <si>
    <t>CA-2015-119907</t>
  </si>
  <si>
    <t>OFF-BI-10001765</t>
  </si>
  <si>
    <t>CA-2015-100769</t>
  </si>
  <si>
    <t>US-2015-161466</t>
  </si>
  <si>
    <t>OFF-AR-10000634</t>
  </si>
  <si>
    <t>CA-2017-164959</t>
  </si>
  <si>
    <t>US-2017-104955</t>
  </si>
  <si>
    <t>OFF-LA-10003121</t>
  </si>
  <si>
    <t>US-2016-108455</t>
  </si>
  <si>
    <t>OFF-PA-10002262</t>
  </si>
  <si>
    <t>US-2016-108098</t>
  </si>
  <si>
    <t>TEC-AC-10000865</t>
  </si>
  <si>
    <t>CA-2014-119032</t>
  </si>
  <si>
    <t>OFF-FA-10003021</t>
  </si>
  <si>
    <t>CA-2015-140410</t>
  </si>
  <si>
    <t>TEC-PH-10003580</t>
  </si>
  <si>
    <t>CA-2014-136280</t>
  </si>
  <si>
    <t>OFF-LA-10000452</t>
  </si>
  <si>
    <t>CA-2017-151911</t>
  </si>
  <si>
    <t>CA-2017-139661</t>
  </si>
  <si>
    <t>FUR-FU-10002885</t>
  </si>
  <si>
    <t>CA-2014-123925</t>
  </si>
  <si>
    <t>CA-2017-152485</t>
  </si>
  <si>
    <t>CA-2016-141586</t>
  </si>
  <si>
    <t>OFF-BI-10003981</t>
  </si>
  <si>
    <t>CA-2015-153388</t>
  </si>
  <si>
    <t>OFF-AR-10001868</t>
  </si>
  <si>
    <t>CA-2017-103611</t>
  </si>
  <si>
    <t>FUR-FU-10004270</t>
  </si>
  <si>
    <t>CA-2014-111059</t>
  </si>
  <si>
    <t>CA-2017-116204</t>
  </si>
  <si>
    <t>OFF-BI-10001759</t>
  </si>
  <si>
    <t>CA-2017-109946</t>
  </si>
  <si>
    <t>OFF-AR-10001419</t>
  </si>
  <si>
    <t>CA-2015-103793</t>
  </si>
  <si>
    <t>OFF-PA-10001125</t>
  </si>
  <si>
    <t>CA-2017-159884</t>
  </si>
  <si>
    <t>OFF-ST-10000344</t>
  </si>
  <si>
    <t>CA-2017-124086</t>
  </si>
  <si>
    <t>FUR-BO-10004015</t>
  </si>
  <si>
    <t>CA-2016-112389</t>
  </si>
  <si>
    <t>OFF-ST-10000419</t>
  </si>
  <si>
    <t>CA-2014-166884</t>
  </si>
  <si>
    <t>FUR-FU-10003981</t>
  </si>
  <si>
    <t>CA-2014-107181</t>
  </si>
  <si>
    <t>OFF-BI-10004230</t>
  </si>
  <si>
    <t>CA-2014-150245</t>
  </si>
  <si>
    <t>CA-2015-111395</t>
  </si>
  <si>
    <t>OFF-PA-10000994</t>
  </si>
  <si>
    <t>CA-2014-134278</t>
  </si>
  <si>
    <t>TEC-CO-10001046</t>
  </si>
  <si>
    <t>CA-2014-130274</t>
  </si>
  <si>
    <t>OFF-LA-10002195</t>
  </si>
  <si>
    <t>CA-2017-158386</t>
  </si>
  <si>
    <t>CA-2015-111507</t>
  </si>
  <si>
    <t>OFF-AR-10001315</t>
  </si>
  <si>
    <t>CA-2016-126809</t>
  </si>
  <si>
    <t>CA-2014-105172</t>
  </si>
  <si>
    <t>OFF-LA-10001641</t>
  </si>
  <si>
    <t>CA-2017-107293</t>
  </si>
  <si>
    <t>OFF-AR-10003732</t>
  </si>
  <si>
    <t>CA-2015-158554</t>
  </si>
  <si>
    <t>OFF-PA-10004000</t>
  </si>
  <si>
    <t>CA-2014-116239</t>
  </si>
  <si>
    <t>OFF-ST-10001370</t>
  </si>
  <si>
    <t>CA-2015-132101</t>
  </si>
  <si>
    <t>TEC-PH-10004539</t>
  </si>
  <si>
    <t>US-2017-152002</t>
  </si>
  <si>
    <t>OFF-PA-10000357</t>
  </si>
  <si>
    <t>US-2014-157385</t>
  </si>
  <si>
    <t>CA-2014-101602</t>
  </si>
  <si>
    <t>TEC-PH-10000169</t>
  </si>
  <si>
    <t>CA-2016-102456</t>
  </si>
  <si>
    <t>OFF-AP-10004336</t>
  </si>
  <si>
    <t>CA-2016-109911</t>
  </si>
  <si>
    <t>CA-2015-122826</t>
  </si>
  <si>
    <t>TEC-PH-10004830</t>
  </si>
  <si>
    <t>CA-2014-117317</t>
  </si>
  <si>
    <t>OFF-PA-10004519</t>
  </si>
  <si>
    <t>CA-2015-118423</t>
  </si>
  <si>
    <t>FUR-BO-10000362</t>
  </si>
  <si>
    <t>CA-2017-149181</t>
  </si>
  <si>
    <t>FUR-CH-10004540</t>
  </si>
  <si>
    <t>CA-2016-164672</t>
  </si>
  <si>
    <t>FUR-FU-10001488</t>
  </si>
  <si>
    <t>CA-2014-156349</t>
  </si>
  <si>
    <t>US-2016-113509</t>
  </si>
  <si>
    <t>TEC-AC-10004855</t>
  </si>
  <si>
    <t>CA-2015-130022</t>
  </si>
  <si>
    <t>OFF-LA-10002787</t>
  </si>
  <si>
    <t>US-2016-118780</t>
  </si>
  <si>
    <t>OFF-ST-10000352</t>
  </si>
  <si>
    <t>CA-2015-157084</t>
  </si>
  <si>
    <t>CA-2015-164539</t>
  </si>
  <si>
    <t>CA-2017-101049</t>
  </si>
  <si>
    <t>FUR-FU-10004415</t>
  </si>
  <si>
    <t>CA-2015-105221</t>
  </si>
  <si>
    <t>CA-2014-135699</t>
  </si>
  <si>
    <t>OFF-PA-10004475</t>
  </si>
  <si>
    <t>US-2017-132444</t>
  </si>
  <si>
    <t>CA-2014-127159</t>
  </si>
  <si>
    <t>US-2015-157154</t>
  </si>
  <si>
    <t>FUR-TA-10001889</t>
  </si>
  <si>
    <t>CA-2016-107615</t>
  </si>
  <si>
    <t>TEC-AC-10001013</t>
  </si>
  <si>
    <t>CA-2015-150560</t>
  </si>
  <si>
    <t>OFF-LA-10003930</t>
  </si>
  <si>
    <t>CA-2016-122728</t>
  </si>
  <si>
    <t>CA-2014-122882</t>
  </si>
  <si>
    <t>CA-2017-149489</t>
  </si>
  <si>
    <t>OFF-AP-10002495</t>
  </si>
  <si>
    <t>CA-2014-142839</t>
  </si>
  <si>
    <t>US-2016-154361</t>
  </si>
  <si>
    <t>FUR-FU-10004020</t>
  </si>
  <si>
    <t>CA-2014-135657</t>
  </si>
  <si>
    <t>CA-2015-114069</t>
  </si>
  <si>
    <t>OFF-BI-10000320</t>
  </si>
  <si>
    <t>CA-2014-139857</t>
  </si>
  <si>
    <t>OFF-FA-10001843</t>
  </si>
  <si>
    <t>CA-2015-145401</t>
  </si>
  <si>
    <t>OFF-PA-10004405</t>
  </si>
  <si>
    <t>US-2017-124968</t>
  </si>
  <si>
    <t>CA-2017-104003</t>
  </si>
  <si>
    <t>FUR-BO-10003965</t>
  </si>
  <si>
    <t>CA-2016-154788</t>
  </si>
  <si>
    <t>US-2017-164056</t>
  </si>
  <si>
    <t>FUR-TA-10001307</t>
  </si>
  <si>
    <t>CA-2016-106894</t>
  </si>
  <si>
    <t>TEC-AC-10003063</t>
  </si>
  <si>
    <t>CA-2017-101483</t>
  </si>
  <si>
    <t>OFF-AP-10002082</t>
  </si>
  <si>
    <t>CA-2014-133270</t>
  </si>
  <si>
    <t>OFF-AR-10002656</t>
  </si>
  <si>
    <t>CA-2016-155670</t>
  </si>
  <si>
    <t>OFF-BI-10000138</t>
  </si>
  <si>
    <t>US-2014-157406</t>
  </si>
  <si>
    <t>OFF-PA-10003543</t>
  </si>
  <si>
    <t>CA-2017-116715</t>
  </si>
  <si>
    <t>OFF-ST-10004340</t>
  </si>
  <si>
    <t>CA-2015-135622</t>
  </si>
  <si>
    <t>OFF-PA-10000100</t>
  </si>
  <si>
    <t>CA-2014-141817</t>
  </si>
  <si>
    <t>CA-2015-130785</t>
  </si>
  <si>
    <t>FUR-BO-10000330</t>
  </si>
  <si>
    <t>CA-2016-110254</t>
  </si>
  <si>
    <t>OFF-SU-10002573</t>
  </si>
  <si>
    <t>US-2014-158057</t>
  </si>
  <si>
    <t>CA-2017-146024</t>
  </si>
  <si>
    <t>CA-2016-129686</t>
  </si>
  <si>
    <t>CA-2014-118976</t>
  </si>
  <si>
    <t>OFF-BI-10001628</t>
  </si>
  <si>
    <t>CA-2016-124667</t>
  </si>
  <si>
    <t>TEC-AC-10003447</t>
  </si>
  <si>
    <t>CA-2015-111094</t>
  </si>
  <si>
    <t>OFF-PA-10001609</t>
  </si>
  <si>
    <t>CA-2017-166317</t>
  </si>
  <si>
    <t>CA-2015-154326</t>
  </si>
  <si>
    <t>TEC-PH-10001819</t>
  </si>
  <si>
    <t>CA-2014-102008</t>
  </si>
  <si>
    <t>CA-2014-120474</t>
  </si>
  <si>
    <t>FUR-CH-10001854</t>
  </si>
  <si>
    <t>CA-2014-104773</t>
  </si>
  <si>
    <t>OFF-ST-10000777</t>
  </si>
  <si>
    <t>CA-2016-121034</t>
  </si>
  <si>
    <t>US-2016-116729</t>
  </si>
  <si>
    <t>TEC-PH-10002200</t>
  </si>
  <si>
    <t>CA-2016-164938</t>
  </si>
  <si>
    <t>TEC-PH-10004897</t>
  </si>
  <si>
    <t>CA-2015-164833</t>
  </si>
  <si>
    <t>OFF-LA-10000443</t>
  </si>
  <si>
    <t>US-2014-130379</t>
  </si>
  <si>
    <t>OFF-AP-10001394</t>
  </si>
  <si>
    <t>CA-2016-168956</t>
  </si>
  <si>
    <t>OFF-AP-10004233</t>
  </si>
  <si>
    <t>CA-2016-167507</t>
  </si>
  <si>
    <t>CA-2016-109344</t>
  </si>
  <si>
    <t>TEC-PH-10002624</t>
  </si>
  <si>
    <t>CA-2014-103373</t>
  </si>
  <si>
    <t>TEC-PH-10002885</t>
  </si>
  <si>
    <t>CA-2015-131422</t>
  </si>
  <si>
    <t>FUR-CH-10001270</t>
  </si>
  <si>
    <t>CA-2017-122693</t>
  </si>
  <si>
    <t>OFF-AP-10002518</t>
  </si>
  <si>
    <t>CA-2014-117345</t>
  </si>
  <si>
    <t>US-2017-158512</t>
  </si>
  <si>
    <t>CA-2015-160472</t>
  </si>
  <si>
    <t>OFF-ST-10000464</t>
  </si>
  <si>
    <t>CA-2014-114643</t>
  </si>
  <si>
    <t>OFF-AR-10003631</t>
  </si>
  <si>
    <t>US-2017-158218</t>
  </si>
  <si>
    <t>US-2017-121251</t>
  </si>
  <si>
    <t>FUR-BO-10001918</t>
  </si>
  <si>
    <t>CA-2014-151078</t>
  </si>
  <si>
    <t>CA-2015-127110</t>
  </si>
  <si>
    <t>OFF-PA-10003309</t>
  </si>
  <si>
    <t>CA-2014-116932</t>
  </si>
  <si>
    <t>OFF-AR-10002067</t>
  </si>
  <si>
    <t>CA-2017-142888</t>
  </si>
  <si>
    <t>FUR-TA-10004767</t>
  </si>
  <si>
    <t>CA-2014-147914</t>
  </si>
  <si>
    <t>US-2016-112977</t>
  </si>
  <si>
    <t>FUR-BO-10003272</t>
  </si>
  <si>
    <t>CA-2017-112039</t>
  </si>
  <si>
    <t>CA-2017-118885</t>
  </si>
  <si>
    <t>US-2017-166611</t>
  </si>
  <si>
    <t>OFF-BI-10001191</t>
  </si>
  <si>
    <t>CA-2015-109512</t>
  </si>
  <si>
    <t>OFF-EN-10002621</t>
  </si>
  <si>
    <t>CA-2017-154718</t>
  </si>
  <si>
    <t>OFF-LA-10003714</t>
  </si>
  <si>
    <t>CA-2014-142587</t>
  </si>
  <si>
    <t>CA-2014-157623</t>
  </si>
  <si>
    <t>OFF-PA-10001204</t>
  </si>
  <si>
    <t>CA-2015-109197</t>
  </si>
  <si>
    <t>OFF-BI-10004632</t>
  </si>
  <si>
    <t>CA-2017-141789</t>
  </si>
  <si>
    <t>OFF-BI-10001359</t>
  </si>
  <si>
    <t>CA-2016-140543</t>
  </si>
  <si>
    <t>CA-2016-151141</t>
  </si>
  <si>
    <t>TEC-PH-10004924</t>
  </si>
  <si>
    <t>US-2016-150567</t>
  </si>
  <si>
    <t>OFF-BI-10001757</t>
  </si>
  <si>
    <t>CA-2016-105963</t>
  </si>
  <si>
    <t>TEC-AC-10003832</t>
  </si>
  <si>
    <t>CA-2014-103366</t>
  </si>
  <si>
    <t>CA-2015-105634</t>
  </si>
  <si>
    <t>CA-2015-123673</t>
  </si>
  <si>
    <t>TEC-PH-10001809</t>
  </si>
  <si>
    <t>US-2017-111423</t>
  </si>
  <si>
    <t>OFF-BI-10003091</t>
  </si>
  <si>
    <t>CA-2016-156685</t>
  </si>
  <si>
    <t>TEC-PH-10004345</t>
  </si>
  <si>
    <t>CA-2017-102834</t>
  </si>
  <si>
    <t>TEC-AC-10001908</t>
  </si>
  <si>
    <t>US-2016-139710</t>
  </si>
  <si>
    <t>TEC-PH-10001198</t>
  </si>
  <si>
    <t>US-2017-101539</t>
  </si>
  <si>
    <t>OFF-PA-10001972</t>
  </si>
  <si>
    <t>CA-2017-161200</t>
  </si>
  <si>
    <t>FUR-BO-10000468</t>
  </si>
  <si>
    <t>CA-2017-144064</t>
  </si>
  <si>
    <t>CA-2017-140242</t>
  </si>
  <si>
    <t>OFF-AR-10004752</t>
  </si>
  <si>
    <t>CA-2014-148950</t>
  </si>
  <si>
    <t>OFF-BI-10001249</t>
  </si>
  <si>
    <t>CA-2014-110408</t>
  </si>
  <si>
    <t>CA-2015-119592</t>
  </si>
  <si>
    <t>OFF-BI-10004187</t>
  </si>
  <si>
    <t>CA-2014-122749</t>
  </si>
  <si>
    <t>TEC-PH-10003811</t>
  </si>
  <si>
    <t>CA-2014-164721</t>
  </si>
  <si>
    <t>OFF-AP-10000240</t>
  </si>
  <si>
    <t>CA-2017-111374</t>
  </si>
  <si>
    <t>OFF-BI-10004970</t>
  </si>
  <si>
    <t>CA-2017-133648</t>
  </si>
  <si>
    <t>CA-2014-131905</t>
  </si>
  <si>
    <t>CA-2017-166128</t>
  </si>
  <si>
    <t>TEC-AC-10001767</t>
  </si>
  <si>
    <t>CA-2017-165386</t>
  </si>
  <si>
    <t>FUR-BO-10003034</t>
  </si>
  <si>
    <t>CA-2014-116407</t>
  </si>
  <si>
    <t>US-2017-111241</t>
  </si>
  <si>
    <t>CA-2015-114237</t>
  </si>
  <si>
    <t>FUR-BO-10004409</t>
  </si>
  <si>
    <t>CA-2015-117961</t>
  </si>
  <si>
    <t>CA-2015-119214</t>
  </si>
  <si>
    <t>OFF-PA-10002893</t>
  </si>
  <si>
    <t>CA-2015-122287</t>
  </si>
  <si>
    <t>OFF-PA-10001661</t>
  </si>
  <si>
    <t>CA-2015-104493</t>
  </si>
  <si>
    <t>OFF-BI-10004817</t>
  </si>
  <si>
    <t>CA-2014-129168</t>
  </si>
  <si>
    <t>OFF-PA-10001639</t>
  </si>
  <si>
    <t>CA-2015-142237</t>
  </si>
  <si>
    <t>CA-2014-106439</t>
  </si>
  <si>
    <t>OFF-FA-10002975</t>
  </si>
  <si>
    <t>CA-2015-133452</t>
  </si>
  <si>
    <t>TEC-AC-10002800</t>
  </si>
  <si>
    <t>CA-2016-146521</t>
  </si>
  <si>
    <t>CA-2017-122504</t>
  </si>
  <si>
    <t>TEC-AC-10003289</t>
  </si>
  <si>
    <t>CA-2017-104647</t>
  </si>
  <si>
    <t>OFF-PA-10002870</t>
  </si>
  <si>
    <t>CA-2016-140501</t>
  </si>
  <si>
    <t>OFF-LA-10003510</t>
  </si>
  <si>
    <t>CA-2015-139290</t>
  </si>
  <si>
    <t>OFF-LA-10004008</t>
  </si>
  <si>
    <t>CA-2017-166142</t>
  </si>
  <si>
    <t>OFF-BI-10004094</t>
  </si>
  <si>
    <t>CA-2014-145926</t>
  </si>
  <si>
    <t>FUR-CH-10004289</t>
  </si>
  <si>
    <t>US-2015-164357</t>
  </si>
  <si>
    <t>OFF-AR-10001177</t>
  </si>
  <si>
    <t>US-2016-146570</t>
  </si>
  <si>
    <t>OFF-BI-10001718</t>
  </si>
  <si>
    <t>CA-2014-123295</t>
  </si>
  <si>
    <t>FUR-CH-10002372</t>
  </si>
  <si>
    <t>CA-2017-167101</t>
  </si>
  <si>
    <t>CA-2017-155460</t>
  </si>
  <si>
    <t>CA-2014-126032</t>
  </si>
  <si>
    <t>US-2014-114188</t>
  </si>
  <si>
    <t>OFF-AP-10000124</t>
  </si>
  <si>
    <t>CA-2015-122210</t>
  </si>
  <si>
    <t>US-2017-157896</t>
  </si>
  <si>
    <t>US-2016-152051</t>
  </si>
  <si>
    <t>CA-2016-141019</t>
  </si>
  <si>
    <t>FUR-FU-10002937</t>
  </si>
  <si>
    <t>CA-2016-101938</t>
  </si>
  <si>
    <t>OFF-AR-10003696</t>
  </si>
  <si>
    <t>CA-2017-166296</t>
  </si>
  <si>
    <t>OFF-PA-10004359</t>
  </si>
  <si>
    <t>CA-2017-117870</t>
  </si>
  <si>
    <t>CA-2016-112025</t>
  </si>
  <si>
    <t>OFF-BI-10002353</t>
  </si>
  <si>
    <t>CA-2016-125738</t>
  </si>
  <si>
    <t>OFF-PA-10000740</t>
  </si>
  <si>
    <t>CA-2016-128818</t>
  </si>
  <si>
    <t>OFF-BI-10000309</t>
  </si>
  <si>
    <t>CA-2017-143063</t>
  </si>
  <si>
    <t>OFF-EN-10003134</t>
  </si>
  <si>
    <t>CA-2014-163013</t>
  </si>
  <si>
    <t>OFF-AR-10001954</t>
  </si>
  <si>
    <t>CA-2015-138002</t>
  </si>
  <si>
    <t>OFF-BI-10002160</t>
  </si>
  <si>
    <t>CA-2015-128860</t>
  </si>
  <si>
    <t>FUR-FU-10001473</t>
  </si>
  <si>
    <t>US-2014-103905</t>
  </si>
  <si>
    <t>CA-2014-125556</t>
  </si>
  <si>
    <t>TEC-PH-10001079</t>
  </si>
  <si>
    <t>CA-2017-130841</t>
  </si>
  <si>
    <t>OFF-BI-10000145</t>
  </si>
  <si>
    <t>CA-2017-121909</t>
  </si>
  <si>
    <t>OFF-PA-10003790</t>
  </si>
  <si>
    <t>CA-2016-106383</t>
  </si>
  <si>
    <t>FUR-BO-10002202</t>
  </si>
  <si>
    <t>CA-2014-128055</t>
  </si>
  <si>
    <t>OFF-BI-10004390</t>
  </si>
  <si>
    <t>CA-2016-122322</t>
  </si>
  <si>
    <t>OFF-SU-10000952</t>
  </si>
  <si>
    <t>CA-2017-166849</t>
  </si>
  <si>
    <t>FUR-FU-10004597</t>
  </si>
  <si>
    <t>CA-2015-169201</t>
  </si>
  <si>
    <t>CA-2017-122994</t>
  </si>
  <si>
    <t>CA-2016-131065</t>
  </si>
  <si>
    <t>TEC-AC-10004145</t>
  </si>
  <si>
    <t>CA-2017-137470</t>
  </si>
  <si>
    <t>OFF-PA-10002001</t>
  </si>
  <si>
    <t>CA-2017-105480</t>
  </si>
  <si>
    <t>OFF-PA-10002787</t>
  </si>
  <si>
    <t>CA-2015-142944</t>
  </si>
  <si>
    <t>FUR-FU-10000308</t>
  </si>
  <si>
    <t>CA-2014-104283</t>
  </si>
  <si>
    <t>CA-2017-165687</t>
  </si>
  <si>
    <t>OFF-AP-10004036</t>
  </si>
  <si>
    <t>US-2017-112928</t>
  </si>
  <si>
    <t>OFF-AP-10002287</t>
  </si>
  <si>
    <t>CA-2017-115154</t>
  </si>
  <si>
    <t>FUR-TA-10001950</t>
  </si>
  <si>
    <t>CA-2015-149342</t>
  </si>
  <si>
    <t>TEC-PH-10001557</t>
  </si>
  <si>
    <t>CA-2015-160794</t>
  </si>
  <si>
    <t>CA-2015-117828</t>
  </si>
  <si>
    <t>US-2015-147739</t>
  </si>
  <si>
    <t>FUR-FU-10001468</t>
  </si>
  <si>
    <t>CA-2017-169285</t>
  </si>
  <si>
    <t>CA-2014-110639</t>
  </si>
  <si>
    <t>OFF-PA-10003936</t>
  </si>
  <si>
    <t>CA-2014-121727</t>
  </si>
  <si>
    <t>US-2014-155894</t>
  </si>
  <si>
    <t>CA-2016-119025</t>
  </si>
  <si>
    <t>OFF-AP-10001205</t>
  </si>
  <si>
    <t>US-2016-129469</t>
  </si>
  <si>
    <t>FUR-FU-10002298</t>
  </si>
  <si>
    <t>CA-2017-119669</t>
  </si>
  <si>
    <t>OFF-FA-10000053</t>
  </si>
  <si>
    <t>CA-2016-118052</t>
  </si>
  <si>
    <t>CA-2016-128111</t>
  </si>
  <si>
    <t>CA-2015-137897</t>
  </si>
  <si>
    <t>TEC-AC-10002217</t>
  </si>
  <si>
    <t>CA-2017-169264</t>
  </si>
  <si>
    <t>CA-2017-145877</t>
  </si>
  <si>
    <t>US-2016-110170</t>
  </si>
  <si>
    <t>FUR-BO-10000780</t>
  </si>
  <si>
    <t>CA-2017-155985</t>
  </si>
  <si>
    <t>FUR-FU-10000758</t>
  </si>
  <si>
    <t>CA-2015-142041</t>
  </si>
  <si>
    <t>CA-2016-156300</t>
  </si>
  <si>
    <t>FUR-CH-10001714</t>
  </si>
  <si>
    <t>CA-2016-155551</t>
  </si>
  <si>
    <t>CA-2016-169922</t>
  </si>
  <si>
    <t>OFF-BI-10003784</t>
  </si>
  <si>
    <t>CA-2017-100748</t>
  </si>
  <si>
    <t>CA-2014-148586</t>
  </si>
  <si>
    <t>FUR-CH-10002439</t>
  </si>
  <si>
    <t>CA-2014-164210</t>
  </si>
  <si>
    <t>FUR-TA-10000849</t>
  </si>
  <si>
    <t>CA-2017-139948</t>
  </si>
  <si>
    <t>FUR-FU-10002597</t>
  </si>
  <si>
    <t>CA-2016-146934</t>
  </si>
  <si>
    <t>CA-2016-119165</t>
  </si>
  <si>
    <t>FUR-CH-10000988</t>
  </si>
  <si>
    <t>CA-2016-140207</t>
  </si>
  <si>
    <t>OFF-BI-10003963</t>
  </si>
  <si>
    <t>CA-2017-138548</t>
  </si>
  <si>
    <t>OFF-AP-10002578</t>
  </si>
  <si>
    <t>CA-2017-148691</t>
  </si>
  <si>
    <t>CA-2017-126067</t>
  </si>
  <si>
    <t>TEC-PH-10000912</t>
  </si>
  <si>
    <t>CA-2014-113579</t>
  </si>
  <si>
    <t>OFF-PA-10001457</t>
  </si>
  <si>
    <t>CA-2014-136644</t>
  </si>
  <si>
    <t>US-2017-133781</t>
  </si>
  <si>
    <t>OFF-EN-10004483</t>
  </si>
  <si>
    <t>CA-2014-143917</t>
  </si>
  <si>
    <t>OFF-ST-10001228</t>
  </si>
  <si>
    <t>CA-2015-120397</t>
  </si>
  <si>
    <t>OFF-AP-10001293</t>
  </si>
  <si>
    <t>CA-2016-136812</t>
  </si>
  <si>
    <t>OFF-ST-10003470</t>
  </si>
  <si>
    <t>CA-2014-106572</t>
  </si>
  <si>
    <t>CA-2017-123134</t>
  </si>
  <si>
    <t>FUR-FU-10003975</t>
  </si>
  <si>
    <t>CA-2015-124541</t>
  </si>
  <si>
    <t>CA-2014-108707</t>
  </si>
  <si>
    <t>OFF-PA-10000788</t>
  </si>
  <si>
    <t>CA-2015-168746</t>
  </si>
  <si>
    <t>CA-2015-113404</t>
  </si>
  <si>
    <t>FUR-CH-10003312</t>
  </si>
  <si>
    <t>US-2015-128090</t>
  </si>
  <si>
    <t>OFF-AR-10002255</t>
  </si>
  <si>
    <t>CA-2016-155439</t>
  </si>
  <si>
    <t>US-2016-126844</t>
  </si>
  <si>
    <t>FUR-FU-10004909</t>
  </si>
  <si>
    <t>CA-2015-110632</t>
  </si>
  <si>
    <t>TEC-AC-10000387</t>
  </si>
  <si>
    <t>CA-2017-123967</t>
  </si>
  <si>
    <t>OFF-BI-10001308</t>
  </si>
  <si>
    <t>CA-2017-134404</t>
  </si>
  <si>
    <t>TEC-PH-10000576</t>
  </si>
  <si>
    <t>CA-2014-129091</t>
  </si>
  <si>
    <t>OFF-EN-10004955</t>
  </si>
  <si>
    <t>US-2014-155502</t>
  </si>
  <si>
    <t>FUR-FU-10004587</t>
  </si>
  <si>
    <t>CA-2017-108553</t>
  </si>
  <si>
    <t>OFF-AP-10000026</t>
  </si>
  <si>
    <t>CA-2014-112718</t>
  </si>
  <si>
    <t>OFF-BI-10000591</t>
  </si>
  <si>
    <t>CA-2016-154053</t>
  </si>
  <si>
    <t>OFF-AR-10003727</t>
  </si>
  <si>
    <t>CA-2014-147298</t>
  </si>
  <si>
    <t>CA-2017-127180</t>
  </si>
  <si>
    <t>TEC-CO-10004722</t>
  </si>
  <si>
    <t>CA-2015-116750</t>
  </si>
  <si>
    <t>FUR-FU-10003829</t>
  </si>
  <si>
    <t>CA-2015-162369</t>
  </si>
  <si>
    <t>CA-2015-169740</t>
  </si>
  <si>
    <t>TEC-AC-10000927</t>
  </si>
  <si>
    <t>CA-2016-149111</t>
  </si>
  <si>
    <t>CA-2016-150343</t>
  </si>
  <si>
    <t>OFF-EN-10004030</t>
  </si>
  <si>
    <t>CA-2016-164784</t>
  </si>
  <si>
    <t>US-2015-139759</t>
  </si>
  <si>
    <t>CA-2015-153220</t>
  </si>
  <si>
    <t>OFF-PA-10003016</t>
  </si>
  <si>
    <t>CA-2017-156412</t>
  </si>
  <si>
    <t>US-2016-144211</t>
  </si>
  <si>
    <t>OFF-PA-10002246</t>
  </si>
  <si>
    <t>CA-2014-143182</t>
  </si>
  <si>
    <t>CA-2014-145317</t>
  </si>
  <si>
    <t>TEC-MA-10003626</t>
  </si>
  <si>
    <t>CA-2014-143413</t>
  </si>
  <si>
    <t>OFF-PA-10002319</t>
  </si>
  <si>
    <t>CA-2014-127187</t>
  </si>
  <si>
    <t>TEC-PH-10000673</t>
  </si>
  <si>
    <t>CA-2017-128475</t>
  </si>
  <si>
    <t>CA-2014-110030</t>
  </si>
  <si>
    <t>CA-2014-153479</t>
  </si>
  <si>
    <t>OFF-LA-10004689</t>
  </si>
  <si>
    <t>CA-2017-104801</t>
  </si>
  <si>
    <t>CA-2014-107594</t>
  </si>
  <si>
    <t>CA-2015-129770</t>
  </si>
  <si>
    <t>CA-2016-165015</t>
  </si>
  <si>
    <t>CA-2015-140144</t>
  </si>
  <si>
    <t>FUR-FU-10002253</t>
  </si>
  <si>
    <t>CA-2017-163321</t>
  </si>
  <si>
    <t>TEC-AC-10004571</t>
  </si>
  <si>
    <t>CA-2015-110247</t>
  </si>
  <si>
    <t>OFF-BI-10001553</t>
  </si>
  <si>
    <t>US-2014-141257</t>
  </si>
  <si>
    <t>FUR-CH-10002758</t>
  </si>
  <si>
    <t>CA-2015-155306</t>
  </si>
  <si>
    <t>OFF-AR-10003251</t>
  </si>
  <si>
    <t>CA-2017-167752</t>
  </si>
  <si>
    <t>OFF-AP-10000159</t>
  </si>
  <si>
    <t>US-2015-122140</t>
  </si>
  <si>
    <t>OFF-AP-10001242</t>
  </si>
  <si>
    <t>CA-2015-138534</t>
  </si>
  <si>
    <t>FUR-BO-10003159</t>
  </si>
  <si>
    <t>CA-2016-116974</t>
  </si>
  <si>
    <t>CA-2014-154599</t>
  </si>
  <si>
    <t>CA-2016-153318</t>
  </si>
  <si>
    <t>CA-2015-159380</t>
  </si>
  <si>
    <t>OFF-PA-10003893</t>
  </si>
  <si>
    <t>US-2014-112914</t>
  </si>
  <si>
    <t>OFF-PA-10003270</t>
  </si>
  <si>
    <t>CA-2017-134649</t>
  </si>
  <si>
    <t>CA-2017-112865</t>
  </si>
  <si>
    <t>US-2016-162852</t>
  </si>
  <si>
    <t>CA-2017-157854</t>
  </si>
  <si>
    <t>FUR-FU-10003832</t>
  </si>
  <si>
    <t>US-2016-128293</t>
  </si>
  <si>
    <t>CA-2017-169810</t>
  </si>
  <si>
    <t>OFF-LA-10003663</t>
  </si>
  <si>
    <t>CA-2017-106537</t>
  </si>
  <si>
    <t>OFF-PA-10000223</t>
  </si>
  <si>
    <t>US-2017-103828</t>
  </si>
  <si>
    <t>US-2016-167339</t>
  </si>
  <si>
    <t>CA-2016-152072</t>
  </si>
  <si>
    <t>OFF-EN-10003040</t>
  </si>
  <si>
    <t>CA-2014-165540</t>
  </si>
  <si>
    <t>CA-2016-164483</t>
  </si>
  <si>
    <t>US-2016-159856</t>
  </si>
  <si>
    <t>CA-2017-164049</t>
  </si>
  <si>
    <t>OFF-PA-10000791</t>
  </si>
  <si>
    <t>CA-2014-169033</t>
  </si>
  <si>
    <t>OFF-AR-10001915</t>
  </si>
  <si>
    <t>US-2016-164630</t>
  </si>
  <si>
    <t>TEC-CO-10000971</t>
  </si>
  <si>
    <t>CA-2015-166464</t>
  </si>
  <si>
    <t>CA-2016-153577</t>
  </si>
  <si>
    <t>OFF-PA-10000575</t>
  </si>
  <si>
    <t>CA-2016-160129</t>
  </si>
  <si>
    <t>OFF-FA-10002763</t>
  </si>
  <si>
    <t>CA-2014-157721</t>
  </si>
  <si>
    <t>OFF-AP-10001303</t>
  </si>
  <si>
    <t>CA-2017-128629</t>
  </si>
  <si>
    <t>FUR-FU-10000771</t>
  </si>
  <si>
    <t>CA-2015-168564</t>
  </si>
  <si>
    <t>CA-2017-169859</t>
  </si>
  <si>
    <t>FUR-FU-10004963</t>
  </si>
  <si>
    <t>CA-2017-123638</t>
  </si>
  <si>
    <t>FUR-CH-10002647</t>
  </si>
  <si>
    <t>CA-2017-137428</t>
  </si>
  <si>
    <t>CA-2015-137512</t>
  </si>
  <si>
    <t>CA-2015-139850</t>
  </si>
  <si>
    <t>OFF-PA-10003848</t>
  </si>
  <si>
    <t>CA-2016-139269</t>
  </si>
  <si>
    <t>FUR-FU-10000755</t>
  </si>
  <si>
    <t>CA-2016-139010</t>
  </si>
  <si>
    <t>TEC-AC-10004227</t>
  </si>
  <si>
    <t>CA-2016-134376</t>
  </si>
  <si>
    <t>CA-2017-147291</t>
  </si>
  <si>
    <t>CA-2014-148761</t>
  </si>
  <si>
    <t>OFF-BI-10000666</t>
  </si>
  <si>
    <t>CA-2017-134845</t>
  </si>
  <si>
    <t>US-2016-160528</t>
  </si>
  <si>
    <t>CA-2014-106719</t>
  </si>
  <si>
    <t>OFF-BI-10002799</t>
  </si>
  <si>
    <t>US-2016-164189</t>
  </si>
  <si>
    <t>TEC-PH-10003691</t>
  </si>
  <si>
    <t>US-2016-114293</t>
  </si>
  <si>
    <t>FUR-CH-10003833</t>
  </si>
  <si>
    <t>US-2015-123960</t>
  </si>
  <si>
    <t>TEC-AC-10003038</t>
  </si>
  <si>
    <t>US-2017-148054</t>
  </si>
  <si>
    <t>FUR-FU-10003247</t>
  </si>
  <si>
    <t>US-2015-100377</t>
  </si>
  <si>
    <t>CA-2016-125206</t>
  </si>
  <si>
    <t>OFF-ST-10003692</t>
  </si>
  <si>
    <t>CA-2014-143903</t>
  </si>
  <si>
    <t>OFF-ST-10003306</t>
  </si>
  <si>
    <t>US-2017-132297</t>
  </si>
  <si>
    <t>CA-2014-100328</t>
  </si>
  <si>
    <t>CA-2017-118773</t>
  </si>
  <si>
    <t>CA-2016-112123</t>
  </si>
  <si>
    <t>OFF-BI-10001071</t>
  </si>
  <si>
    <t>CA-2015-114468</t>
  </si>
  <si>
    <t>OFF-SU-10004231</t>
  </si>
  <si>
    <t>CA-2017-135692</t>
  </si>
  <si>
    <t>CA-2016-120558</t>
  </si>
  <si>
    <t>US-2016-133879</t>
  </si>
  <si>
    <t>OFF-BI-10004465</t>
  </si>
  <si>
    <t>CA-2014-123498</t>
  </si>
  <si>
    <t>OFF-BI-10000632</t>
  </si>
  <si>
    <t>CA-2017-159352</t>
  </si>
  <si>
    <t>TEC-PH-10004700</t>
  </si>
  <si>
    <t>CA-2017-109750</t>
  </si>
  <si>
    <t>TEC-PH-10000702</t>
  </si>
  <si>
    <t>CA-2015-149384</t>
  </si>
  <si>
    <t>OFF-BI-10003196</t>
  </si>
  <si>
    <t>CA-2014-158372</t>
  </si>
  <si>
    <t>TEC-PH-10002103</t>
  </si>
  <si>
    <t>CA-2016-108882</t>
  </si>
  <si>
    <t>TEC-AC-10000420</t>
  </si>
  <si>
    <t>CA-2014-142314</t>
  </si>
  <si>
    <t>CA-2014-108189</t>
  </si>
  <si>
    <t>OFF-PA-10001838</t>
  </si>
  <si>
    <t>CA-2017-131625</t>
  </si>
  <si>
    <t>FUR-FU-10004960</t>
  </si>
  <si>
    <t>US-2016-140809</t>
  </si>
  <si>
    <t>OFF-ST-10002214</t>
  </si>
  <si>
    <t>CA-2017-110373</t>
  </si>
  <si>
    <t>US-2014-126571</t>
  </si>
  <si>
    <t>OFF-ST-10003816</t>
  </si>
  <si>
    <t>CA-2014-143840</t>
  </si>
  <si>
    <t>TEC-PH-10002660</t>
  </si>
  <si>
    <t>CA-2014-115980</t>
  </si>
  <si>
    <t>TEC-AC-10003709</t>
  </si>
  <si>
    <t>CA-2016-167290</t>
  </si>
  <si>
    <t>CA-2014-138023</t>
  </si>
  <si>
    <t>CA-2015-165057</t>
  </si>
  <si>
    <t>CA-2015-120810</t>
  </si>
  <si>
    <t>OFF-AP-10002892</t>
  </si>
  <si>
    <t>CA-2015-112014</t>
  </si>
  <si>
    <t>OFF-AR-10003156</t>
  </si>
  <si>
    <t>US-2016-157308</t>
  </si>
  <si>
    <t>US-2014-134733</t>
  </si>
  <si>
    <t>FUR-BO-10002916</t>
  </si>
  <si>
    <t>US-2014-150434</t>
  </si>
  <si>
    <t>TEC-PH-10000895</t>
  </si>
  <si>
    <t>CA-2014-115161</t>
  </si>
  <si>
    <t>FUR-BO-10003966</t>
  </si>
  <si>
    <t>CA-2014-165379</t>
  </si>
  <si>
    <t>OFF-PA-10003072</t>
  </si>
  <si>
    <t>CA-2016-134887</t>
  </si>
  <si>
    <t>US-2017-148362</t>
  </si>
  <si>
    <t>OFF-ST-10001128</t>
  </si>
  <si>
    <t>CA-2014-102274</t>
  </si>
  <si>
    <t>CA-2015-152527</t>
  </si>
  <si>
    <t>CA-2016-100244</t>
  </si>
  <si>
    <t>OFF-PA-10001471</t>
  </si>
  <si>
    <t>US-2015-100531</t>
  </si>
  <si>
    <t>CA-2016-116344</t>
  </si>
  <si>
    <t>CA-2016-158869</t>
  </si>
  <si>
    <t>CA-2016-162614</t>
  </si>
  <si>
    <t>OFF-BI-10004001</t>
  </si>
  <si>
    <t>CA-2014-157609</t>
  </si>
  <si>
    <t>TEC-PH-10002415</t>
  </si>
  <si>
    <t>CA-2015-153325</t>
  </si>
  <si>
    <t>OFF-BI-10004236</t>
  </si>
  <si>
    <t>CA-2016-166485</t>
  </si>
  <si>
    <t>OFF-PA-10004996</t>
  </si>
  <si>
    <t>CA-2016-165470</t>
  </si>
  <si>
    <t>CA-2016-146143</t>
  </si>
  <si>
    <t>FUR-FU-10002045</t>
  </si>
  <si>
    <t>CA-2014-143385</t>
  </si>
  <si>
    <t>TEC-AC-10001635</t>
  </si>
  <si>
    <t>CA-2014-124023</t>
  </si>
  <si>
    <t>US-2016-134761</t>
  </si>
  <si>
    <t>TEC-PH-10002890</t>
  </si>
  <si>
    <t>CA-2014-166863</t>
  </si>
  <si>
    <t>TEC-PH-10000369</t>
  </si>
  <si>
    <t>CA-2016-168536</t>
  </si>
  <si>
    <t>US-2016-113649</t>
  </si>
  <si>
    <t>OFF-PA-10000130</t>
  </si>
  <si>
    <t>CA-2015-168767</t>
  </si>
  <si>
    <t>CA-2016-130680</t>
  </si>
  <si>
    <t>TEC-PH-10004833</t>
  </si>
  <si>
    <t>CA-2014-110849</t>
  </si>
  <si>
    <t>TEC-MA-10002859</t>
  </si>
  <si>
    <t>CA-2016-152555</t>
  </si>
  <si>
    <t>OFF-PA-10001295</t>
  </si>
  <si>
    <t>CA-2014-120838</t>
  </si>
  <si>
    <t>CA-2016-130029</t>
  </si>
  <si>
    <t>OFF-PA-10000552</t>
  </si>
  <si>
    <t>CA-2015-121650</t>
  </si>
  <si>
    <t>OFF-AR-10001149</t>
  </si>
  <si>
    <t>US-2016-131674</t>
  </si>
  <si>
    <t>TEC-AC-10004864</t>
  </si>
  <si>
    <t>CA-2016-109743</t>
  </si>
  <si>
    <t>CA-2017-132178</t>
  </si>
  <si>
    <t>CA-2015-128083</t>
  </si>
  <si>
    <t>CA-2016-155005</t>
  </si>
  <si>
    <t>TEC-PH-10003484</t>
  </si>
  <si>
    <t>CA-2015-156440</t>
  </si>
  <si>
    <t>CA-2015-151680</t>
  </si>
  <si>
    <t>FUR-FU-10000305</t>
  </si>
  <si>
    <t>CA-2017-144036</t>
  </si>
  <si>
    <t>CA-2017-168193</t>
  </si>
  <si>
    <t>OFF-PA-10002254</t>
  </si>
  <si>
    <t>CA-2016-111283</t>
  </si>
  <si>
    <t>OFF-AR-10001615</t>
  </si>
  <si>
    <t>CA-2017-125878</t>
  </si>
  <si>
    <t>OFF-BI-10002609</t>
  </si>
  <si>
    <t>CA-2016-155530</t>
  </si>
  <si>
    <t>FUR-TA-10004256</t>
  </si>
  <si>
    <t>CA-2014-115357</t>
  </si>
  <si>
    <t>TEC-AC-10000023</t>
  </si>
  <si>
    <t>US-2014-102715</t>
  </si>
  <si>
    <t>OFF-FA-10001332</t>
  </si>
  <si>
    <t>CA-2015-107937</t>
  </si>
  <si>
    <t>CA-2017-118521</t>
  </si>
  <si>
    <t>OFF-PA-10003465</t>
  </si>
  <si>
    <t>CA-2014-149643</t>
  </si>
  <si>
    <t>TEC-PH-10000038</t>
  </si>
  <si>
    <t>CA-2016-169971</t>
  </si>
  <si>
    <t>OFF-AR-10002804</t>
  </si>
  <si>
    <t>CA-2015-111325</t>
  </si>
  <si>
    <t>US-2014-117163</t>
  </si>
  <si>
    <t>CA-2017-147753</t>
  </si>
  <si>
    <t>OFF-LA-10003537</t>
  </si>
  <si>
    <t>CA-2017-141733</t>
  </si>
  <si>
    <t>CA-2014-100363</t>
  </si>
  <si>
    <t>OFF-FA-10000611</t>
  </si>
  <si>
    <t>CA-2014-101931</t>
  </si>
  <si>
    <t>OFF-BI-10004140</t>
  </si>
  <si>
    <t>CA-2017-129000</t>
  </si>
  <si>
    <t>OFF-ST-10001097</t>
  </si>
  <si>
    <t>US-2017-131849</t>
  </si>
  <si>
    <t>FUR-FU-10004164</t>
  </si>
  <si>
    <t>CA-2017-154039</t>
  </si>
  <si>
    <t>FUR-TA-10001932</t>
  </si>
  <si>
    <t>CA-2014-124709</t>
  </si>
  <si>
    <t>TEC-AC-10002842</t>
  </si>
  <si>
    <t>CA-2015-132486</t>
  </si>
  <si>
    <t>CA-2015-129896</t>
  </si>
  <si>
    <t>OFF-PA-10002245</t>
  </si>
  <si>
    <t>US-2017-127341</t>
  </si>
  <si>
    <t>OFF-BI-10001072</t>
  </si>
  <si>
    <t>CA-2017-110212</t>
  </si>
  <si>
    <t>TEC-AC-10002331</t>
  </si>
  <si>
    <t>CA-2015-121097</t>
  </si>
  <si>
    <t>CA-2017-126788</t>
  </si>
  <si>
    <t>TEC-PH-10001619</t>
  </si>
  <si>
    <t>US-2017-142573</t>
  </si>
  <si>
    <t>CA-2016-110044</t>
  </si>
  <si>
    <t>TEC-PH-10001299</t>
  </si>
  <si>
    <t>US-2015-163685</t>
  </si>
  <si>
    <t>CA-2015-132374</t>
  </si>
  <si>
    <t>CA-2017-119564</t>
  </si>
  <si>
    <t>FUR-FU-10003096</t>
  </si>
  <si>
    <t>CA-2014-137589</t>
  </si>
  <si>
    <t>OFF-SU-10000157</t>
  </si>
  <si>
    <t>CA-2015-105627</t>
  </si>
  <si>
    <t>CA-2015-153612</t>
  </si>
  <si>
    <t>OFF-AR-10000203</t>
  </si>
  <si>
    <t>CA-2017-139311</t>
  </si>
  <si>
    <t>OFF-PA-10001776</t>
  </si>
  <si>
    <t>US-2016-108777</t>
  </si>
  <si>
    <t>CA-2017-108112</t>
  </si>
  <si>
    <t>FUR-FU-10003553</t>
  </si>
  <si>
    <t>CA-2017-166576</t>
  </si>
  <si>
    <t>CA-2015-116687</t>
  </si>
  <si>
    <t>CA-2017-133823</t>
  </si>
  <si>
    <t>CA-2017-123239</t>
  </si>
  <si>
    <t>CA-2016-117226</t>
  </si>
  <si>
    <t>US-2014-107699</t>
  </si>
  <si>
    <t>US-2016-164588</t>
  </si>
  <si>
    <t>CA-2015-163587</t>
  </si>
  <si>
    <t>OFF-LA-10004484</t>
  </si>
  <si>
    <t>CA-2016-152163</t>
  </si>
  <si>
    <t>OFF-BI-10002215</t>
  </si>
  <si>
    <t>CA-2016-148593</t>
  </si>
  <si>
    <t>CA-2015-129392</t>
  </si>
  <si>
    <t>OFF-PA-10004248</t>
  </si>
  <si>
    <t>CA-2014-166457</t>
  </si>
  <si>
    <t>CA-2014-103590</t>
  </si>
  <si>
    <t>OFF-EN-10004007</t>
  </si>
  <si>
    <t>CA-2015-111234</t>
  </si>
  <si>
    <t>OFF-LA-10002271</t>
  </si>
  <si>
    <t>CA-2016-108644</t>
  </si>
  <si>
    <t>CA-2015-154970</t>
  </si>
  <si>
    <t>CA-2017-100223</t>
  </si>
  <si>
    <t>CA-2016-159142</t>
  </si>
  <si>
    <t>TEC-PH-10001448</t>
  </si>
  <si>
    <t>CA-2014-138436</t>
  </si>
  <si>
    <t>CA-2017-118367</t>
  </si>
  <si>
    <t>OFF-EN-10004386</t>
  </si>
  <si>
    <t>US-2015-117184</t>
  </si>
  <si>
    <t>OFF-BI-10002082</t>
  </si>
  <si>
    <t>CA-2017-129021</t>
  </si>
  <si>
    <t>TEC-PH-10001459</t>
  </si>
  <si>
    <t>CA-2014-123253</t>
  </si>
  <si>
    <t>CA-2016-121601</t>
  </si>
  <si>
    <t>CA-2014-162278</t>
  </si>
  <si>
    <t>US-2015-147662</t>
  </si>
  <si>
    <t>CA-2016-153346</t>
  </si>
  <si>
    <t>OFF-AR-10000315</t>
  </si>
  <si>
    <t>CA-2017-111332</t>
  </si>
  <si>
    <t>OFF-AR-10001953</t>
  </si>
  <si>
    <t>CA-2015-152891</t>
  </si>
  <si>
    <t>US-2014-138758</t>
  </si>
  <si>
    <t>CA-2017-132339</t>
  </si>
  <si>
    <t>CA-2015-163090</t>
  </si>
  <si>
    <t>OFF-SU-10002537</t>
  </si>
  <si>
    <t>CA-2016-163398</t>
  </si>
  <si>
    <t>CA-2015-121965</t>
  </si>
  <si>
    <t>CA-2016-147137</t>
  </si>
  <si>
    <t>FUR-FU-10000221</t>
  </si>
  <si>
    <t>CA-2015-163895</t>
  </si>
  <si>
    <t>CA-2014-147235</t>
  </si>
  <si>
    <t>OFF-PA-10004948</t>
  </si>
  <si>
    <t>CA-2017-112753</t>
  </si>
  <si>
    <t>CA-2017-167003</t>
  </si>
  <si>
    <t>CA-2014-109491</t>
  </si>
  <si>
    <t>TEC-AC-10001284</t>
  </si>
  <si>
    <t>CA-2014-107454</t>
  </si>
  <si>
    <t>CA-2014-140403</t>
  </si>
  <si>
    <t>CA-2017-113474</t>
  </si>
  <si>
    <t>OFF-EN-10004206</t>
  </si>
  <si>
    <t>CA-2015-126557</t>
  </si>
  <si>
    <t>FUR-CH-10004477</t>
  </si>
  <si>
    <t>US-2014-165862</t>
  </si>
  <si>
    <t>FUR-TA-10002855</t>
  </si>
  <si>
    <t>CA-2017-129490</t>
  </si>
  <si>
    <t>FUR-CH-10003298</t>
  </si>
  <si>
    <t>CA-2014-169460</t>
  </si>
  <si>
    <t>CA-2015-110947</t>
  </si>
  <si>
    <t>US-2015-113327</t>
  </si>
  <si>
    <t>CA-2016-109407</t>
  </si>
  <si>
    <t>OFF-BI-10000285</t>
  </si>
  <si>
    <t>CA-2015-147501</t>
  </si>
  <si>
    <t>OFF-BI-10002003</t>
  </si>
  <si>
    <t>CA-2014-146885</t>
  </si>
  <si>
    <t>OFF-PA-10001622</t>
  </si>
  <si>
    <t>CA-2016-139556</t>
  </si>
  <si>
    <t>FUR-CH-10004983</t>
  </si>
  <si>
    <t>CA-2016-116547</t>
  </si>
  <si>
    <t>FUR-FU-10000076</t>
  </si>
  <si>
    <t>CA-2016-133550</t>
  </si>
  <si>
    <t>OFF-AP-10001005</t>
  </si>
  <si>
    <t>CA-2017-139416</t>
  </si>
  <si>
    <t>US-2015-138121</t>
  </si>
  <si>
    <t>CA-2015-109736</t>
  </si>
  <si>
    <t>CA-2015-118227</t>
  </si>
  <si>
    <t>OFF-AR-10001044</t>
  </si>
  <si>
    <t>CA-2015-123155</t>
  </si>
  <si>
    <t>CA-2014-150301</t>
  </si>
  <si>
    <t>CA-2017-136364</t>
  </si>
  <si>
    <t>TEC-PH-10003885</t>
  </si>
  <si>
    <t>CA-2015-140025</t>
  </si>
  <si>
    <t>OFF-AP-10002651</t>
  </si>
  <si>
    <t>CA-2015-137526</t>
  </si>
  <si>
    <t>US-2014-146353</t>
  </si>
  <si>
    <t>OFF-BI-10003476</t>
  </si>
  <si>
    <t>CA-2016-160304</t>
  </si>
  <si>
    <t>FUR-BO-10004709</t>
  </si>
  <si>
    <t>CA-2015-155124</t>
  </si>
  <si>
    <t>TEC-PH-10003356</t>
  </si>
  <si>
    <t>CA-2017-150931</t>
  </si>
  <si>
    <t>OFF-BI-10004728</t>
  </si>
  <si>
    <t>CA-2014-156587</t>
  </si>
  <si>
    <t>CA-2014-125171</t>
  </si>
  <si>
    <t>OFF-LA-10001175</t>
  </si>
  <si>
    <t>CA-2016-129238</t>
  </si>
  <si>
    <t>TEC-PH-10004120</t>
  </si>
  <si>
    <t>CA-2016-136126</t>
  </si>
  <si>
    <t>OFF-SU-10000898</t>
  </si>
  <si>
    <t>CA-2014-156006</t>
  </si>
  <si>
    <t>TEC-AC-10002550</t>
  </si>
  <si>
    <t>CA-2015-162166</t>
  </si>
  <si>
    <t>OFF-PA-10002606</t>
  </si>
  <si>
    <t>CA-2016-120796</t>
  </si>
  <si>
    <t>OFF-BI-10004330</t>
  </si>
  <si>
    <t>CA-2017-151071</t>
  </si>
  <si>
    <t>OFF-BI-10002103</t>
  </si>
  <si>
    <t>CA-2014-134572</t>
  </si>
  <si>
    <t>CA-2017-132738</t>
  </si>
  <si>
    <t>OFF-PA-10001752</t>
  </si>
  <si>
    <t>CA-2016-150658</t>
  </si>
  <si>
    <t>CA-2015-123330</t>
  </si>
  <si>
    <t>CA-2014-111192</t>
  </si>
  <si>
    <t>CA-2016-122903</t>
  </si>
  <si>
    <t>FUR-CH-10002024</t>
  </si>
  <si>
    <t>CA-2015-115567</t>
  </si>
  <si>
    <t>TEC-AC-10001314</t>
  </si>
  <si>
    <t>US-2017-141943</t>
  </si>
  <si>
    <t>OFF-EN-10003448</t>
  </si>
  <si>
    <t>CA-2014-159709</t>
  </si>
  <si>
    <t>OFF-EN-10001434</t>
  </si>
  <si>
    <t>CA-2015-156755</t>
  </si>
  <si>
    <t>OFF-ST-10002615</t>
  </si>
  <si>
    <t>CA-2014-140487</t>
  </si>
  <si>
    <t>FUR-BO-10000711</t>
  </si>
  <si>
    <t>CA-2016-119865</t>
  </si>
  <si>
    <t>CA-2017-131037</t>
  </si>
  <si>
    <t>CA-2016-156265</t>
  </si>
  <si>
    <t>FUR-TA-10001691</t>
  </si>
  <si>
    <t>US-2015-168914</t>
  </si>
  <si>
    <t>US-2017-114034</t>
  </si>
  <si>
    <t>OFF-PA-10004735</t>
  </si>
  <si>
    <t>CA-2017-147452</t>
  </si>
  <si>
    <t>CA-2017-125913</t>
  </si>
  <si>
    <t>CA-2014-159681</t>
  </si>
  <si>
    <t>CA-2016-123414</t>
  </si>
  <si>
    <t>OFF-LA-10004559</t>
  </si>
  <si>
    <t>CA-2014-130813</t>
  </si>
  <si>
    <t>OFF-PA-10002005</t>
  </si>
  <si>
    <t>CA-2015-149811</t>
  </si>
  <si>
    <t>OFF-BI-10003676</t>
  </si>
  <si>
    <t>CA-2014-123477</t>
  </si>
  <si>
    <t>OFF-AP-10000692</t>
  </si>
  <si>
    <t>CA-2015-118738</t>
  </si>
  <si>
    <t>CA-2016-136021</t>
  </si>
  <si>
    <t>OFF-PA-10000551</t>
  </si>
  <si>
    <t>CA-2017-164707</t>
  </si>
  <si>
    <t>TEC-PH-10001924</t>
  </si>
  <si>
    <t>CA-2017-123043</t>
  </si>
  <si>
    <t>OFF-BI-10003910</t>
  </si>
  <si>
    <t>US-2016-151827</t>
  </si>
  <si>
    <t>TEC-PH-10002789</t>
  </si>
  <si>
    <t>CA-2017-160962</t>
  </si>
  <si>
    <t>CA-2014-146591</t>
  </si>
  <si>
    <t>CA-2014-107706</t>
  </si>
  <si>
    <t>OFF-PA-10000466</t>
  </si>
  <si>
    <t>CA-2017-105487</t>
  </si>
  <si>
    <t>TEC-PH-10001336</t>
  </si>
  <si>
    <t>CA-2015-168529</t>
  </si>
  <si>
    <t>US-2014-137680</t>
  </si>
  <si>
    <t>OFF-PA-10000174</t>
  </si>
  <si>
    <t>CA-2015-103177</t>
  </si>
  <si>
    <t>TEC-PH-10001795</t>
  </si>
  <si>
    <t>CA-2015-137106</t>
  </si>
  <si>
    <t>US-2017-150595</t>
  </si>
  <si>
    <t>CA-2016-134936</t>
  </si>
  <si>
    <t>FUR-TA-10001086</t>
  </si>
  <si>
    <t>CA-2017-163818</t>
  </si>
  <si>
    <t>CA-2016-147431</t>
  </si>
  <si>
    <t>OFF-ST-10003994</t>
  </si>
  <si>
    <t>CA-2016-121748</t>
  </si>
  <si>
    <t>CA-2014-127614</t>
  </si>
  <si>
    <t>CA-2014-154893</t>
  </si>
  <si>
    <t>FUR-CH-10004287</t>
  </si>
  <si>
    <t>CA-2015-166604</t>
  </si>
  <si>
    <t>OFF-EN-10004147</t>
  </si>
  <si>
    <t>CA-2014-135993</t>
  </si>
  <si>
    <t>CA-2016-143924</t>
  </si>
  <si>
    <t>OFF-FA-10000735</t>
  </si>
  <si>
    <t>CA-2014-164315</t>
  </si>
  <si>
    <t>CA-2014-131541</t>
  </si>
  <si>
    <t>CA-2017-126550</t>
  </si>
  <si>
    <t>OFF-ST-10001031</t>
  </si>
  <si>
    <t>CA-2016-118514</t>
  </si>
  <si>
    <t>CA-2015-119634</t>
  </si>
  <si>
    <t>US-2014-126340</t>
  </si>
  <si>
    <t>TEC-PH-10004447</t>
  </si>
  <si>
    <t>CA-2015-154900</t>
  </si>
  <si>
    <t>CA-2016-117408</t>
  </si>
  <si>
    <t>CA-2014-166716</t>
  </si>
  <si>
    <t>FUR-CH-10004495</t>
  </si>
  <si>
    <t>CA-2016-125017</t>
  </si>
  <si>
    <t>FUR-FU-10000723</t>
  </si>
  <si>
    <t>CA-2014-115056</t>
  </si>
  <si>
    <t>OFF-AP-10003971</t>
  </si>
  <si>
    <t>CA-2015-111206</t>
  </si>
  <si>
    <t>TEC-AC-10003095</t>
  </si>
  <si>
    <t>CA-2015-132948</t>
  </si>
  <si>
    <t>OFF-ST-10000636</t>
  </si>
  <si>
    <t>US-2014-138835</t>
  </si>
  <si>
    <t>CA-2015-112214</t>
  </si>
  <si>
    <t>OFF-ST-10001505</t>
  </si>
  <si>
    <t>CA-2015-157434</t>
  </si>
  <si>
    <t>OFF-PA-10001526</t>
  </si>
  <si>
    <t>US-2014-109456</t>
  </si>
  <si>
    <t>OFF-BI-10000136</t>
  </si>
  <si>
    <t>CA-2016-163776</t>
  </si>
  <si>
    <t>FUR-FU-10001185</t>
  </si>
  <si>
    <t>CA-2015-135580</t>
  </si>
  <si>
    <t>OFF-PA-10000595</t>
  </si>
  <si>
    <t>CA-2014-152422</t>
  </si>
  <si>
    <t>US-2015-155369</t>
  </si>
  <si>
    <t>CA-2016-117912</t>
  </si>
  <si>
    <t>FUR-FU-10002088</t>
  </si>
  <si>
    <t>CA-2016-152765</t>
  </si>
  <si>
    <t>OFF-PA-10000483</t>
  </si>
  <si>
    <t>CA-2014-107524</t>
  </si>
  <si>
    <t>US-2014-165589</t>
  </si>
  <si>
    <t>FUR-FU-10002396</t>
  </si>
  <si>
    <t>CA-2017-100111</t>
  </si>
  <si>
    <t>FUR-CH-10003846</t>
  </si>
  <si>
    <t>US-2014-158400</t>
  </si>
  <si>
    <t>CA-2015-105613</t>
  </si>
  <si>
    <t>TEC-AC-10000521</t>
  </si>
  <si>
    <t>CA-2014-133543</t>
  </si>
  <si>
    <t>OFF-AR-10003394</t>
  </si>
  <si>
    <t>CA-2016-104150</t>
  </si>
  <si>
    <t>CA-2014-103989</t>
  </si>
  <si>
    <t>TEC-PH-10004667</t>
  </si>
  <si>
    <t>US-2014-106299</t>
  </si>
  <si>
    <t>OFF-BI-10001758</t>
  </si>
  <si>
    <t>CA-2017-157903</t>
  </si>
  <si>
    <t>CA-2017-107986</t>
  </si>
  <si>
    <t>US-2015-129553</t>
  </si>
  <si>
    <t>CA-2016-144400</t>
  </si>
  <si>
    <t>US-2016-115952</t>
  </si>
  <si>
    <t>CA-2015-151253</t>
  </si>
  <si>
    <t>CA-2014-141152</t>
  </si>
  <si>
    <t>OFF-BI-10002931</t>
  </si>
  <si>
    <t>CA-2014-112837</t>
  </si>
  <si>
    <t>FUR-FU-10004006</t>
  </si>
  <si>
    <t>CA-2014-104402</t>
  </si>
  <si>
    <t>TEC-MA-10000423</t>
  </si>
  <si>
    <t>CA-2015-110289</t>
  </si>
  <si>
    <t>OFF-PA-10002986</t>
  </si>
  <si>
    <t>CA-2015-146255</t>
  </si>
  <si>
    <t>CA-2014-134103</t>
  </si>
  <si>
    <t>CA-2015-147529</t>
  </si>
  <si>
    <t>CA-2017-131632</t>
  </si>
  <si>
    <t>CA-2017-125472</t>
  </si>
  <si>
    <t>CA-2015-121405</t>
  </si>
  <si>
    <t>CA-2015-108532</t>
  </si>
  <si>
    <t>TEC-PH-10001750</t>
  </si>
  <si>
    <t>CA-2014-149524</t>
  </si>
  <si>
    <t>CA-2015-120621</t>
  </si>
  <si>
    <t>OFF-AP-10002945</t>
  </si>
  <si>
    <t>CA-2014-149594</t>
  </si>
  <si>
    <t>CA-2015-103135</t>
  </si>
  <si>
    <t>CA-2014-103744</t>
  </si>
  <si>
    <t>CA-2015-166947</t>
  </si>
  <si>
    <t>FUR-CH-10004997</t>
  </si>
  <si>
    <t>CA-2014-166086</t>
  </si>
  <si>
    <t>CA-2017-131282</t>
  </si>
  <si>
    <t>CA-2016-161543</t>
  </si>
  <si>
    <t>OFF-PA-10003971</t>
  </si>
  <si>
    <t>CA-2016-148516</t>
  </si>
  <si>
    <t>TEC-AC-10003610</t>
  </si>
  <si>
    <t>CA-2015-107678</t>
  </si>
  <si>
    <t>FUR-CH-10001891</t>
  </si>
  <si>
    <t>US-2017-167402</t>
  </si>
  <si>
    <t>OFF-PA-10004983</t>
  </si>
  <si>
    <t>CA-2014-130449</t>
  </si>
  <si>
    <t>CA-2015-141250</t>
  </si>
  <si>
    <t>CA-2017-161088</t>
  </si>
  <si>
    <t>OFF-BI-10002824</t>
  </si>
  <si>
    <t>CA-2014-109134</t>
  </si>
  <si>
    <t>FUR-FU-10000320</t>
  </si>
  <si>
    <t>CA-2015-153535</t>
  </si>
  <si>
    <t>FUR-FU-10001986</t>
  </si>
  <si>
    <t>CA-2014-120096</t>
  </si>
  <si>
    <t>OFF-PA-10001977</t>
  </si>
  <si>
    <t>CA-2015-156923</t>
  </si>
  <si>
    <t>CA-2016-162943</t>
  </si>
  <si>
    <t>FUR-CH-10001708</t>
  </si>
  <si>
    <t>CA-2014-109302</t>
  </si>
  <si>
    <t>OFF-BI-10002854</t>
  </si>
  <si>
    <t>US-2016-163461</t>
  </si>
  <si>
    <t>OFF-PA-10003134</t>
  </si>
  <si>
    <t>US-2016-100461</t>
  </si>
  <si>
    <t>FUR-BO-10002545</t>
  </si>
  <si>
    <t>CA-2015-162544</t>
  </si>
  <si>
    <t>CA-2014-124394</t>
  </si>
  <si>
    <t>US-2015-165512</t>
  </si>
  <si>
    <t>US-2017-135013</t>
  </si>
  <si>
    <t>TEC-CO-10001449</t>
  </si>
  <si>
    <t>US-2017-149006</t>
  </si>
  <si>
    <t>OFF-ST-10003221</t>
  </si>
  <si>
    <t>CA-2015-110765</t>
  </si>
  <si>
    <t>CA-2015-112144</t>
  </si>
  <si>
    <t>US-2016-134369</t>
  </si>
  <si>
    <t>OFF-PA-10002195</t>
  </si>
  <si>
    <t>CA-2017-123687</t>
  </si>
  <si>
    <t>OFF-AP-10002670</t>
  </si>
  <si>
    <t>CA-2017-169474</t>
  </si>
  <si>
    <t>CA-2015-119480</t>
  </si>
  <si>
    <t>CA-2016-101980</t>
  </si>
  <si>
    <t>CA-2016-144337</t>
  </si>
  <si>
    <t>CA-2014-137911</t>
  </si>
  <si>
    <t>CA-2015-145835</t>
  </si>
  <si>
    <t>CA-2014-122070</t>
  </si>
  <si>
    <t>OFF-EN-10004773</t>
  </si>
  <si>
    <t>CA-2016-110492</t>
  </si>
  <si>
    <t>OFF-ST-10003716</t>
  </si>
  <si>
    <t>CA-2017-154760</t>
  </si>
  <si>
    <t>CA-2017-122987</t>
  </si>
  <si>
    <t>CA-2016-133368</t>
  </si>
  <si>
    <t>OFF-PA-10004039</t>
  </si>
  <si>
    <t>US-2016-150357</t>
  </si>
  <si>
    <t>CA-2016-113656</t>
  </si>
  <si>
    <t>FUR-FU-10000719</t>
  </si>
  <si>
    <t>CA-2015-101126</t>
  </si>
  <si>
    <t>OFF-ST-10000943</t>
  </si>
  <si>
    <t>CA-2014-137274</t>
  </si>
  <si>
    <t>CA-2016-132066</t>
  </si>
  <si>
    <t>CA-2016-105732</t>
  </si>
  <si>
    <t>CA-2017-108035</t>
  </si>
  <si>
    <t>FUR-CH-10000454</t>
  </si>
  <si>
    <t>CA-2014-165568</t>
  </si>
  <si>
    <t>OFF-BI-10001031</t>
  </si>
  <si>
    <t>CA-2017-121048</t>
  </si>
  <si>
    <t>CA-2014-140396</t>
  </si>
  <si>
    <t>OFF-EN-10002592</t>
  </si>
  <si>
    <t>CA-2014-133354</t>
  </si>
  <si>
    <t>OFF-PA-10001800</t>
  </si>
  <si>
    <t>US-2014-120740</t>
  </si>
  <si>
    <t>CA-2014-105417</t>
  </si>
  <si>
    <t>FUR-FU-10004864</t>
  </si>
  <si>
    <t>CA-2017-139493</t>
  </si>
  <si>
    <t>OFF-AR-10003158</t>
  </si>
  <si>
    <t>CA-2014-142951</t>
  </si>
  <si>
    <t>CA-2017-107958</t>
  </si>
  <si>
    <t>CA-2015-149636</t>
  </si>
  <si>
    <t>OFF-PA-10004041</t>
  </si>
  <si>
    <t>CA-2016-152800</t>
  </si>
  <si>
    <t>CA-2016-134334</t>
  </si>
  <si>
    <t>CA-2014-125150</t>
  </si>
  <si>
    <t>CA-2015-128958</t>
  </si>
  <si>
    <t>US-2014-137869</t>
  </si>
  <si>
    <t>CA-2015-143364</t>
  </si>
  <si>
    <t>CA-2014-166051</t>
  </si>
  <si>
    <t>TEC-PH-10002680</t>
  </si>
  <si>
    <t>CA-2014-103800</t>
  </si>
  <si>
    <t>CA-2016-137939</t>
  </si>
  <si>
    <t>TEC-PH-10003589</t>
  </si>
  <si>
    <t>CA-2015-153738</t>
  </si>
  <si>
    <t>US-2015-160563</t>
  </si>
  <si>
    <t>TEC-AC-10002567</t>
  </si>
  <si>
    <t>CA-2017-143658</t>
  </si>
  <si>
    <t>CA-2015-149846</t>
  </si>
  <si>
    <t>CA-2016-120803</t>
  </si>
  <si>
    <t>CA-2016-162355</t>
  </si>
  <si>
    <t>OFF-AR-10004344</t>
  </si>
  <si>
    <t>CA-2015-129217</t>
  </si>
  <si>
    <t>CA-2017-134810</t>
  </si>
  <si>
    <t>US-2017-167318</t>
  </si>
  <si>
    <t>TEC-AC-10003870</t>
  </si>
  <si>
    <t>CA-2016-128671</t>
  </si>
  <si>
    <t>OFF-PA-10001870</t>
  </si>
  <si>
    <t>CA-2017-107265</t>
  </si>
  <si>
    <t>CA-2017-114370</t>
  </si>
  <si>
    <t>TEC-PH-10000213</t>
  </si>
  <si>
    <t>US-2016-155173</t>
  </si>
  <si>
    <t>CA-2014-146500</t>
  </si>
  <si>
    <t>OFF-BI-10002432</t>
  </si>
  <si>
    <t>CA-2014-169061</t>
  </si>
  <si>
    <t>CA-2016-119074</t>
  </si>
  <si>
    <t>FUR-FU-10004053</t>
  </si>
  <si>
    <t>CA-2016-123540</t>
  </si>
  <si>
    <t>FUR-CH-10000847</t>
  </si>
  <si>
    <t>CA-2016-146437</t>
  </si>
  <si>
    <t>CA-2016-138233</t>
  </si>
  <si>
    <t>TEC-AC-10002001</t>
  </si>
  <si>
    <t>CA-2017-141705</t>
  </si>
  <si>
    <t>FUR-TA-10004607</t>
  </si>
  <si>
    <t>US-2014-132745</t>
  </si>
  <si>
    <t>OFF-FA-10000254</t>
  </si>
  <si>
    <t>CA-2015-132276</t>
  </si>
  <si>
    <t>US-2016-150140</t>
  </si>
  <si>
    <t>TEC-PH-10002555</t>
  </si>
  <si>
    <t>CA-2014-116666</t>
  </si>
  <si>
    <t>US-2016-112396</t>
  </si>
  <si>
    <t>CA-2016-150483</t>
  </si>
  <si>
    <t>FUR-FU-10001379</t>
  </si>
  <si>
    <t>CA-2015-109603</t>
  </si>
  <si>
    <t>CA-2017-111717</t>
  </si>
  <si>
    <t>FUR-CH-10001545</t>
  </si>
  <si>
    <t>CA-2017-106047</t>
  </si>
  <si>
    <t>CA-2015-165554</t>
  </si>
  <si>
    <t>OFF-PA-10003724</t>
  </si>
  <si>
    <t>CA-2016-101623</t>
  </si>
  <si>
    <t>OFF-FA-10003495</t>
  </si>
  <si>
    <t>CA-2014-102645</t>
  </si>
  <si>
    <t>CA-2015-164007</t>
  </si>
  <si>
    <t>TEC-AC-10003433</t>
  </si>
  <si>
    <t>CA-2014-125759</t>
  </si>
  <si>
    <t>FUR-FU-10002111</t>
  </si>
  <si>
    <t>CA-2015-111948</t>
  </si>
  <si>
    <t>CA-2017-124940</t>
  </si>
  <si>
    <t>TEC-AC-10002076</t>
  </si>
  <si>
    <t>CA-2015-167696</t>
  </si>
  <si>
    <t>OFF-EN-10001539</t>
  </si>
  <si>
    <t>CA-2014-159814</t>
  </si>
  <si>
    <t>FUR-FU-10001731</t>
  </si>
  <si>
    <t>CA-2014-148285</t>
  </si>
  <si>
    <t>CA-2014-156545</t>
  </si>
  <si>
    <t>US-2016-102232</t>
  </si>
  <si>
    <t>OFF-AR-10000538</t>
  </si>
  <si>
    <t>CA-2014-154165</t>
  </si>
  <si>
    <t>CA-2015-135727</t>
  </si>
  <si>
    <t>CA-2015-116841</t>
  </si>
  <si>
    <t>OFF-AP-10002403</t>
  </si>
  <si>
    <t>CA-2015-116638</t>
  </si>
  <si>
    <t>CA-2014-144281</t>
  </si>
  <si>
    <t>CA-2016-113390</t>
  </si>
  <si>
    <t>OFF-AR-10003183</t>
  </si>
  <si>
    <t>CA-2014-123855</t>
  </si>
  <si>
    <t>TEC-PH-10000215</t>
  </si>
  <si>
    <t>CA-2017-101959</t>
  </si>
  <si>
    <t>CA-2015-155635</t>
  </si>
  <si>
    <t>OFF-BI-10000962</t>
  </si>
  <si>
    <t>CA-2014-120950</t>
  </si>
  <si>
    <t>OFF-PA-10000587</t>
  </si>
  <si>
    <t>CA-2015-130855</t>
  </si>
  <si>
    <t>OFF-SU-10003936</t>
  </si>
  <si>
    <t>CA-2014-112291</t>
  </si>
  <si>
    <t>OFF-EN-10001415</t>
  </si>
  <si>
    <t>CA-2016-164889</t>
  </si>
  <si>
    <t>FUR-TA-10001676</t>
  </si>
  <si>
    <t>CA-2015-145415</t>
  </si>
  <si>
    <t>CA-2014-110422</t>
  </si>
  <si>
    <t>FUR-FU-10001889</t>
  </si>
  <si>
    <t>row_id</t>
  </si>
  <si>
    <t>order_id</t>
  </si>
  <si>
    <t>order_year</t>
  </si>
  <si>
    <t>order_month</t>
  </si>
  <si>
    <t>segment</t>
  </si>
  <si>
    <t>city</t>
  </si>
  <si>
    <t>state</t>
  </si>
  <si>
    <t>region</t>
  </si>
  <si>
    <t>product_id</t>
  </si>
  <si>
    <t>category</t>
  </si>
  <si>
    <t>ship_mode</t>
  </si>
  <si>
    <t>sales</t>
  </si>
  <si>
    <t>quantity</t>
  </si>
  <si>
    <t>discount</t>
  </si>
  <si>
    <t>profit</t>
  </si>
  <si>
    <t>profit_margin</t>
  </si>
  <si>
    <t>sub_category</t>
  </si>
  <si>
    <t>loss_flag</t>
  </si>
  <si>
    <t>discount_category</t>
  </si>
  <si>
    <t>Grand Total</t>
  </si>
  <si>
    <t>Categories</t>
  </si>
  <si>
    <t>Profit Margin</t>
  </si>
  <si>
    <t>Order date</t>
  </si>
  <si>
    <t>Sub-Categories</t>
  </si>
  <si>
    <t>Total Sales</t>
  </si>
  <si>
    <t>Total Profit</t>
  </si>
  <si>
    <t xml:space="preserve"> Which categories drive sales and profit?</t>
  </si>
  <si>
    <t>How do sales and profit trend over time?</t>
  </si>
  <si>
    <t>Which Sub-Categories are causing losses?</t>
  </si>
  <si>
    <t>Which regions are underperforming in profit?</t>
  </si>
  <si>
    <t>How do discounts impact profitability?</t>
  </si>
  <si>
    <t xml:space="preserve"> Which segemnt are most profitable?</t>
  </si>
  <si>
    <t/>
  </si>
  <si>
    <t>BUSINESS PERFORMANCE DASHBOARD: Sales &amp;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</si>
</sst>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Light"/>
      <family val="2"/>
      <scheme val="major"/>
    </font>
    <font>
      <sz val="12"/>
      <color theme="1"/>
      <name val="Calibri"/>
      <family val="2"/>
      <scheme val="minor"/>
    </font>
    <font>
      <b/>
      <u val="double"/>
      <sz val="15"/>
      <color theme="1"/>
      <name val="Segoe UI"/>
      <family val="2"/>
    </font>
    <font>
      <sz val="15"/>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1"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[Retail_Business_Performance_Dashboard_Sales_Profit_Analysis.xlsx]Pivots!PivotTable1</c:name>
    <c:fmtId val="3"/>
  </c:pivotSource>
  <c:chart>
    <c:title>
      <c:tx>
        <c:rich>
          <a:bodyPr rot="0" spcFirstLastPara="1" vertOverflow="ellipsis" vert="horz" wrap="square" anchor="ctr" anchorCtr="1"/>
          <a:lstStyle/>
          <a:p>
            <a:pPr>
              <a:defRPr sz="1320" b="1" i="0" u="none" strike="noStrike" kern="1200" baseline="0">
                <a:solidFill>
                  <a:schemeClr val="tx1">
                    <a:lumMod val="65000"/>
                    <a:lumOff val="35000"/>
                  </a:schemeClr>
                </a:solidFill>
                <a:latin typeface="+mn-lt"/>
                <a:ea typeface="+mn-ea"/>
                <a:cs typeface="+mn-cs"/>
              </a:defRPr>
            </a:pPr>
            <a:r>
              <a:rPr lang="en-IN" sz="1800"/>
              <a:t>CATEGORY</a:t>
            </a:r>
            <a:r>
              <a:rPr lang="en-IN" sz="1800" baseline="0"/>
              <a:t> WISE PERFORMANCE</a:t>
            </a:r>
            <a:endParaRPr lang="en-IN" sz="1800"/>
          </a:p>
        </c:rich>
      </c:tx>
      <c:layout>
        <c:manualLayout>
          <c:xMode val="edge"/>
          <c:yMode val="edge"/>
          <c:x val="0.18496539305194876"/>
          <c:y val="0.11612399801376179"/>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Furniture</c:v>
                </c:pt>
                <c:pt idx="1">
                  <c:v>Office Supplies</c:v>
                </c:pt>
                <c:pt idx="2">
                  <c:v>Technology</c:v>
                </c:pt>
              </c:strCache>
            </c:strRef>
          </c:cat>
          <c:val>
            <c:numRef>
              <c:f>Pivots!$B$4:$B$7</c:f>
              <c:numCache>
                <c:formatCode>0.00</c:formatCode>
                <c:ptCount val="3"/>
                <c:pt idx="0">
                  <c:v>103866.2911</c:v>
                </c:pt>
                <c:pt idx="1">
                  <c:v>70286.789999999994</c:v>
                </c:pt>
                <c:pt idx="2">
                  <c:v>99019.74</c:v>
                </c:pt>
              </c:numCache>
            </c:numRef>
          </c:val>
          <c:extLst>
            <c:ext xmlns:c16="http://schemas.microsoft.com/office/drawing/2014/chart" uri="{C3380CC4-5D6E-409C-BE32-E72D297353CC}">
              <c16:uniqueId val="{00000000-7CF7-4AB9-856C-15891474BA10}"/>
            </c:ext>
          </c:extLst>
        </c:ser>
        <c:ser>
          <c:idx val="1"/>
          <c:order val="1"/>
          <c:tx>
            <c:strRef>
              <c:f>Pivots!$C$3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Furniture</c:v>
                </c:pt>
                <c:pt idx="1">
                  <c:v>Office Supplies</c:v>
                </c:pt>
                <c:pt idx="2">
                  <c:v>Technology</c:v>
                </c:pt>
              </c:strCache>
            </c:strRef>
          </c:cat>
          <c:val>
            <c:numRef>
              <c:f>Pivots!$C$4:$C$7</c:f>
              <c:numCache>
                <c:formatCode>0.00</c:formatCode>
                <c:ptCount val="3"/>
                <c:pt idx="0">
                  <c:v>-1507.7699</c:v>
                </c:pt>
                <c:pt idx="1">
                  <c:v>10885.5677</c:v>
                </c:pt>
                <c:pt idx="2">
                  <c:v>13830.440199999999</c:v>
                </c:pt>
              </c:numCache>
            </c:numRef>
          </c:val>
          <c:extLst>
            <c:ext xmlns:c16="http://schemas.microsoft.com/office/drawing/2014/chart" uri="{C3380CC4-5D6E-409C-BE32-E72D297353CC}">
              <c16:uniqueId val="{00000001-7CF7-4AB9-856C-15891474BA10}"/>
            </c:ext>
          </c:extLst>
        </c:ser>
        <c:ser>
          <c:idx val="2"/>
          <c:order val="2"/>
          <c:tx>
            <c:strRef>
              <c:f>Pivots!$D$3</c:f>
              <c:strCache>
                <c:ptCount val="1"/>
                <c:pt idx="0">
                  <c:v>profit_margin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Furniture</c:v>
                </c:pt>
                <c:pt idx="1">
                  <c:v>Office Supplies</c:v>
                </c:pt>
                <c:pt idx="2">
                  <c:v>Technology</c:v>
                </c:pt>
              </c:strCache>
            </c:strRef>
          </c:cat>
          <c:val>
            <c:numRef>
              <c:f>Pivots!$D$4:$D$7</c:f>
              <c:numCache>
                <c:formatCode>0.00</c:formatCode>
                <c:ptCount val="3"/>
                <c:pt idx="0">
                  <c:v>12.06438545115015</c:v>
                </c:pt>
                <c:pt idx="1">
                  <c:v>92.817222222222171</c:v>
                </c:pt>
                <c:pt idx="2">
                  <c:v>34.572222222222223</c:v>
                </c:pt>
              </c:numCache>
            </c:numRef>
          </c:val>
          <c:extLst>
            <c:ext xmlns:c16="http://schemas.microsoft.com/office/drawing/2014/chart" uri="{C3380CC4-5D6E-409C-BE32-E72D297353CC}">
              <c16:uniqueId val="{00000002-7CF7-4AB9-856C-15891474BA10}"/>
            </c:ext>
          </c:extLst>
        </c:ser>
        <c:dLbls>
          <c:showLegendKey val="0"/>
          <c:showVal val="0"/>
          <c:showCatName val="0"/>
          <c:showSerName val="0"/>
          <c:showPercent val="0"/>
          <c:showBubbleSize val="0"/>
        </c:dLbls>
        <c:gapWidth val="150"/>
        <c:axId val="1498953999"/>
        <c:axId val="1498971759"/>
      </c:barChart>
      <c:catAx>
        <c:axId val="149895399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98971759"/>
        <c:crosses val="autoZero"/>
        <c:auto val="1"/>
        <c:lblAlgn val="ctr"/>
        <c:lblOffset val="100"/>
        <c:noMultiLvlLbl val="0"/>
      </c:catAx>
      <c:valAx>
        <c:axId val="149897175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98953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[Retail_Business_Performance_Dashboard_Sales_Profit_Analysis.xlsx]Pivots!PivotTable3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REGIONAL</a:t>
            </a:r>
            <a:r>
              <a:rPr lang="en-IN" baseline="0"/>
              <a:t>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Pivots!$H$3</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Pivots!$G$4:$G$8</c:f>
              <c:strCache>
                <c:ptCount val="4"/>
                <c:pt idx="0">
                  <c:v>East</c:v>
                </c:pt>
                <c:pt idx="1">
                  <c:v>South</c:v>
                </c:pt>
                <c:pt idx="2">
                  <c:v>Central</c:v>
                </c:pt>
                <c:pt idx="3">
                  <c:v>West</c:v>
                </c:pt>
              </c:strCache>
            </c:strRef>
          </c:cat>
          <c:val>
            <c:numRef>
              <c:f>Pivots!$H$4:$H$8</c:f>
              <c:numCache>
                <c:formatCode>0.00</c:formatCode>
                <c:ptCount val="4"/>
                <c:pt idx="0">
                  <c:v>64320.845000000001</c:v>
                </c:pt>
                <c:pt idx="1">
                  <c:v>58130.633999999998</c:v>
                </c:pt>
                <c:pt idx="2">
                  <c:v>74452.935599999997</c:v>
                </c:pt>
                <c:pt idx="3">
                  <c:v>76268.406499999997</c:v>
                </c:pt>
              </c:numCache>
            </c:numRef>
          </c:val>
          <c:extLst>
            <c:ext xmlns:c16="http://schemas.microsoft.com/office/drawing/2014/chart" uri="{C3380CC4-5D6E-409C-BE32-E72D297353CC}">
              <c16:uniqueId val="{00000000-82B7-4853-BACD-98BE224D60F3}"/>
            </c:ext>
          </c:extLst>
        </c:ser>
        <c:ser>
          <c:idx val="1"/>
          <c:order val="1"/>
          <c:tx>
            <c:strRef>
              <c:f>Pivots!$I$3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Pivots!$G$4:$G$8</c:f>
              <c:strCache>
                <c:ptCount val="4"/>
                <c:pt idx="0">
                  <c:v>East</c:v>
                </c:pt>
                <c:pt idx="1">
                  <c:v>South</c:v>
                </c:pt>
                <c:pt idx="2">
                  <c:v>Central</c:v>
                </c:pt>
                <c:pt idx="3">
                  <c:v>West</c:v>
                </c:pt>
              </c:strCache>
            </c:strRef>
          </c:cat>
          <c:val>
            <c:numRef>
              <c:f>Pivots!$I$4:$I$8</c:f>
              <c:numCache>
                <c:formatCode>0.00</c:formatCode>
                <c:ptCount val="4"/>
                <c:pt idx="0">
                  <c:v>6092.3351000000002</c:v>
                </c:pt>
                <c:pt idx="1">
                  <c:v>1508.7004999999999</c:v>
                </c:pt>
                <c:pt idx="2">
                  <c:v>3928.7644</c:v>
                </c:pt>
                <c:pt idx="3">
                  <c:v>11678.438</c:v>
                </c:pt>
              </c:numCache>
            </c:numRef>
          </c:val>
          <c:extLst>
            <c:ext xmlns:c16="http://schemas.microsoft.com/office/drawing/2014/chart" uri="{C3380CC4-5D6E-409C-BE32-E72D297353CC}">
              <c16:uniqueId val="{00000001-82B7-4853-BACD-98BE224D60F3}"/>
            </c:ext>
          </c:extLst>
        </c:ser>
        <c:dLbls>
          <c:dLblPos val="inEnd"/>
          <c:showLegendKey val="0"/>
          <c:showVal val="1"/>
          <c:showCatName val="0"/>
          <c:showSerName val="0"/>
          <c:showPercent val="0"/>
          <c:showBubbleSize val="0"/>
        </c:dLbls>
        <c:gapWidth val="100"/>
        <c:overlap val="-24"/>
        <c:axId val="1489972543"/>
        <c:axId val="1489985023"/>
      </c:barChart>
      <c:catAx>
        <c:axId val="1489972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85023"/>
        <c:crosses val="autoZero"/>
        <c:auto val="1"/>
        <c:lblAlgn val="ctr"/>
        <c:lblOffset val="100"/>
        <c:noMultiLvlLbl val="0"/>
      </c:catAx>
      <c:valAx>
        <c:axId val="14899850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7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[Retail_Business_Performance_Dashboard_Sales_Profit_Analysis.xlsx]Pivots!PivotTable4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Yearly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Pivots!$B$14</c:f>
              <c:strCache>
                <c:ptCount val="1"/>
                <c:pt idx="0">
                  <c:v>Sales</c:v>
                </c:pt>
              </c:strCache>
            </c:strRef>
          </c:tx>
          <c:spPr>
            <a:ln w="28575" cap="rnd">
              <a:solidFill>
                <a:schemeClr val="accent1"/>
              </a:solidFill>
              <a:round/>
            </a:ln>
            <a:effectLst/>
          </c:spPr>
          <c:marker>
            <c:symbol val="none"/>
          </c:marker>
          <c:cat>
            <c:multiLvlStrRef>
              <c:f>Pivots!$A$15:$A$67</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Pivots!$B$15:$B$67</c:f>
              <c:numCache>
                <c:formatCode>0.00</c:formatCode>
                <c:ptCount val="48"/>
                <c:pt idx="0">
                  <c:v>3134.9340000000002</c:v>
                </c:pt>
                <c:pt idx="1">
                  <c:v>3722.67</c:v>
                </c:pt>
                <c:pt idx="2">
                  <c:v>9829.4069999999992</c:v>
                </c:pt>
                <c:pt idx="3">
                  <c:v>1424.796</c:v>
                </c:pt>
                <c:pt idx="4">
                  <c:v>1804.15</c:v>
                </c:pt>
                <c:pt idx="5">
                  <c:v>4999.5959999999995</c:v>
                </c:pt>
                <c:pt idx="6">
                  <c:v>6682.5780000000004</c:v>
                </c:pt>
                <c:pt idx="7">
                  <c:v>5270.1450000000004</c:v>
                </c:pt>
                <c:pt idx="8">
                  <c:v>8576.8860000000004</c:v>
                </c:pt>
                <c:pt idx="9">
                  <c:v>5942.96</c:v>
                </c:pt>
                <c:pt idx="10">
                  <c:v>4729.7190000000001</c:v>
                </c:pt>
                <c:pt idx="11">
                  <c:v>6138.1490000000003</c:v>
                </c:pt>
                <c:pt idx="12">
                  <c:v>3251.8490000000002</c:v>
                </c:pt>
                <c:pt idx="13">
                  <c:v>5705.1360000000004</c:v>
                </c:pt>
                <c:pt idx="14">
                  <c:v>6409.0619999999999</c:v>
                </c:pt>
                <c:pt idx="15">
                  <c:v>1100.3810000000001</c:v>
                </c:pt>
                <c:pt idx="16">
                  <c:v>6906.14</c:v>
                </c:pt>
                <c:pt idx="17">
                  <c:v>7370.3149999999996</c:v>
                </c:pt>
                <c:pt idx="18">
                  <c:v>2532.3180000000002</c:v>
                </c:pt>
                <c:pt idx="19">
                  <c:v>5807.3860000000004</c:v>
                </c:pt>
                <c:pt idx="20">
                  <c:v>4288.8230000000003</c:v>
                </c:pt>
                <c:pt idx="21">
                  <c:v>6207.6205</c:v>
                </c:pt>
                <c:pt idx="22">
                  <c:v>4969.0955000000004</c:v>
                </c:pt>
                <c:pt idx="23">
                  <c:v>9080.2620000000006</c:v>
                </c:pt>
                <c:pt idx="24">
                  <c:v>7789.7479999999996</c:v>
                </c:pt>
                <c:pt idx="25">
                  <c:v>2697.2739999999999</c:v>
                </c:pt>
                <c:pt idx="26">
                  <c:v>11733.434999999999</c:v>
                </c:pt>
                <c:pt idx="27">
                  <c:v>5635.41</c:v>
                </c:pt>
                <c:pt idx="28">
                  <c:v>4390.2839999999997</c:v>
                </c:pt>
                <c:pt idx="29">
                  <c:v>3851.873</c:v>
                </c:pt>
                <c:pt idx="30">
                  <c:v>3122.4879999999998</c:v>
                </c:pt>
                <c:pt idx="31">
                  <c:v>6955.2619999999997</c:v>
                </c:pt>
                <c:pt idx="32">
                  <c:v>8808.59</c:v>
                </c:pt>
                <c:pt idx="33">
                  <c:v>3571.2159999999999</c:v>
                </c:pt>
                <c:pt idx="34">
                  <c:v>3204.0509999999999</c:v>
                </c:pt>
                <c:pt idx="35">
                  <c:v>5341.2518</c:v>
                </c:pt>
                <c:pt idx="36">
                  <c:v>2786.0059999999999</c:v>
                </c:pt>
                <c:pt idx="37">
                  <c:v>9674.0859999999993</c:v>
                </c:pt>
                <c:pt idx="38">
                  <c:v>4197.1880000000001</c:v>
                </c:pt>
                <c:pt idx="39">
                  <c:v>3325.3780000000002</c:v>
                </c:pt>
                <c:pt idx="40">
                  <c:v>9174.4470000000001</c:v>
                </c:pt>
                <c:pt idx="41">
                  <c:v>6686.26</c:v>
                </c:pt>
                <c:pt idx="42">
                  <c:v>4161.3415000000005</c:v>
                </c:pt>
                <c:pt idx="43">
                  <c:v>4566.5907999999999</c:v>
                </c:pt>
                <c:pt idx="44">
                  <c:v>4531.42</c:v>
                </c:pt>
                <c:pt idx="45">
                  <c:v>11424.401</c:v>
                </c:pt>
                <c:pt idx="46">
                  <c:v>17025.061000000002</c:v>
                </c:pt>
                <c:pt idx="47">
                  <c:v>2635.3809999999999</c:v>
                </c:pt>
              </c:numCache>
            </c:numRef>
          </c:val>
          <c:smooth val="0"/>
          <c:extLst>
            <c:ext xmlns:c16="http://schemas.microsoft.com/office/drawing/2014/chart" uri="{C3380CC4-5D6E-409C-BE32-E72D297353CC}">
              <c16:uniqueId val="{00000000-FB79-4A19-A059-14CF5960F230}"/>
            </c:ext>
          </c:extLst>
        </c:ser>
        <c:ser>
          <c:idx val="1"/>
          <c:order val="1"/>
          <c:tx>
            <c:strRef>
              <c:f>Pivots!$C$14</c:f>
              <c:strCache>
                <c:ptCount val="1"/>
                <c:pt idx="0">
                  <c:v>Profit</c:v>
                </c:pt>
              </c:strCache>
            </c:strRef>
          </c:tx>
          <c:spPr>
            <a:ln w="28575" cap="rnd">
              <a:solidFill>
                <a:schemeClr val="accent2"/>
              </a:solidFill>
              <a:round/>
            </a:ln>
            <a:effectLst/>
          </c:spPr>
          <c:marker>
            <c:symbol val="none"/>
          </c:marker>
          <c:cat>
            <c:multiLvlStrRef>
              <c:f>Pivots!$A$15:$A$67</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Pivots!$C$15:$C$67</c:f>
              <c:numCache>
                <c:formatCode>0.00</c:formatCode>
                <c:ptCount val="48"/>
                <c:pt idx="0">
                  <c:v>380.8569</c:v>
                </c:pt>
                <c:pt idx="1">
                  <c:v>203.58779999999999</c:v>
                </c:pt>
                <c:pt idx="2">
                  <c:v>1648.8586</c:v>
                </c:pt>
                <c:pt idx="3">
                  <c:v>453.51089999999999</c:v>
                </c:pt>
                <c:pt idx="4">
                  <c:v>265.24619999999999</c:v>
                </c:pt>
                <c:pt idx="5">
                  <c:v>857.0539</c:v>
                </c:pt>
                <c:pt idx="6">
                  <c:v>1382.8384000000001</c:v>
                </c:pt>
                <c:pt idx="7">
                  <c:v>502.91879999999998</c:v>
                </c:pt>
                <c:pt idx="8">
                  <c:v>1808.6523</c:v>
                </c:pt>
                <c:pt idx="9">
                  <c:v>513.13850000000002</c:v>
                </c:pt>
                <c:pt idx="10">
                  <c:v>476.3648</c:v>
                </c:pt>
                <c:pt idx="11">
                  <c:v>-678.99120000000005</c:v>
                </c:pt>
                <c:pt idx="12">
                  <c:v>-1286.3647000000001</c:v>
                </c:pt>
                <c:pt idx="13">
                  <c:v>1350.769</c:v>
                </c:pt>
                <c:pt idx="14">
                  <c:v>590.58109999999999</c:v>
                </c:pt>
                <c:pt idx="15">
                  <c:v>242.77010000000001</c:v>
                </c:pt>
                <c:pt idx="16">
                  <c:v>-2278.3216000000002</c:v>
                </c:pt>
                <c:pt idx="17">
                  <c:v>801.70010000000002</c:v>
                </c:pt>
                <c:pt idx="18">
                  <c:v>459.94260000000003</c:v>
                </c:pt>
                <c:pt idx="19">
                  <c:v>916.67020000000002</c:v>
                </c:pt>
                <c:pt idx="20">
                  <c:v>20.381799999999998</c:v>
                </c:pt>
                <c:pt idx="21">
                  <c:v>332.95400000000001</c:v>
                </c:pt>
                <c:pt idx="22">
                  <c:v>493.40809999999999</c:v>
                </c:pt>
                <c:pt idx="23">
                  <c:v>-668.30269999999996</c:v>
                </c:pt>
                <c:pt idx="24">
                  <c:v>1142.9460999999999</c:v>
                </c:pt>
                <c:pt idx="25">
                  <c:v>232.21770000000001</c:v>
                </c:pt>
                <c:pt idx="26">
                  <c:v>454.45179999999999</c:v>
                </c:pt>
                <c:pt idx="27">
                  <c:v>844.95989999999995</c:v>
                </c:pt>
                <c:pt idx="28">
                  <c:v>987.87310000000002</c:v>
                </c:pt>
                <c:pt idx="29">
                  <c:v>579.83360000000005</c:v>
                </c:pt>
                <c:pt idx="30">
                  <c:v>466.0444</c:v>
                </c:pt>
                <c:pt idx="31">
                  <c:v>203.33369999999999</c:v>
                </c:pt>
                <c:pt idx="32">
                  <c:v>2003.7551000000001</c:v>
                </c:pt>
                <c:pt idx="33">
                  <c:v>605.63879999999995</c:v>
                </c:pt>
                <c:pt idx="34">
                  <c:v>353.7912</c:v>
                </c:pt>
                <c:pt idx="35">
                  <c:v>-1198.4175</c:v>
                </c:pt>
                <c:pt idx="36">
                  <c:v>-171.1533</c:v>
                </c:pt>
                <c:pt idx="37">
                  <c:v>1057.8308</c:v>
                </c:pt>
                <c:pt idx="38">
                  <c:v>643.8184</c:v>
                </c:pt>
                <c:pt idx="39">
                  <c:v>-584.38239999999996</c:v>
                </c:pt>
                <c:pt idx="40">
                  <c:v>2036.7907</c:v>
                </c:pt>
                <c:pt idx="41">
                  <c:v>959.97080000000005</c:v>
                </c:pt>
                <c:pt idx="42">
                  <c:v>766.28610000000003</c:v>
                </c:pt>
                <c:pt idx="43">
                  <c:v>1336.4812999999999</c:v>
                </c:pt>
                <c:pt idx="44">
                  <c:v>763.46360000000004</c:v>
                </c:pt>
                <c:pt idx="45">
                  <c:v>-3555.8157999999999</c:v>
                </c:pt>
                <c:pt idx="46">
                  <c:v>4918.8098</c:v>
                </c:pt>
                <c:pt idx="47">
                  <c:v>-430.5138</c:v>
                </c:pt>
              </c:numCache>
            </c:numRef>
          </c:val>
          <c:smooth val="0"/>
          <c:extLst>
            <c:ext xmlns:c16="http://schemas.microsoft.com/office/drawing/2014/chart" uri="{C3380CC4-5D6E-409C-BE32-E72D297353CC}">
              <c16:uniqueId val="{00000001-FB79-4A19-A059-14CF5960F230}"/>
            </c:ext>
          </c:extLst>
        </c:ser>
        <c:dLbls>
          <c:showLegendKey val="0"/>
          <c:showVal val="0"/>
          <c:showCatName val="0"/>
          <c:showSerName val="0"/>
          <c:showPercent val="0"/>
          <c:showBubbleSize val="0"/>
        </c:dLbls>
        <c:smooth val="0"/>
        <c:axId val="1206126735"/>
        <c:axId val="1206144495"/>
      </c:lineChart>
      <c:catAx>
        <c:axId val="12061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4495"/>
        <c:crosses val="autoZero"/>
        <c:auto val="1"/>
        <c:lblAlgn val="ctr"/>
        <c:lblOffset val="100"/>
        <c:noMultiLvlLbl val="0"/>
      </c:catAx>
      <c:valAx>
        <c:axId val="12061444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2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[Retail_Business_Performance_Dashboard_Sales_Profit_Analysis.xlsx]Pivots!PivotTable7</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DISCOUNT IMPACT ON PROFITABILITY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Pivots!$M$14:$M$16</c:f>
              <c:strCache>
                <c:ptCount val="1"/>
                <c:pt idx="0">
                  <c:v>Sales - Loss</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Pivots!$L$17:$L$20</c:f>
              <c:strCache>
                <c:ptCount val="3"/>
                <c:pt idx="0">
                  <c:v>High</c:v>
                </c:pt>
                <c:pt idx="1">
                  <c:v>Low</c:v>
                </c:pt>
                <c:pt idx="2">
                  <c:v>Medium</c:v>
                </c:pt>
              </c:strCache>
            </c:strRef>
          </c:cat>
          <c:val>
            <c:numRef>
              <c:f>Pivots!$M$17:$M$20</c:f>
              <c:numCache>
                <c:formatCode>0.00</c:formatCode>
                <c:ptCount val="3"/>
                <c:pt idx="0">
                  <c:v>52483.3796</c:v>
                </c:pt>
                <c:pt idx="2">
                  <c:v>16121.816000000001</c:v>
                </c:pt>
              </c:numCache>
            </c:numRef>
          </c:val>
          <c:extLst>
            <c:ext xmlns:c16="http://schemas.microsoft.com/office/drawing/2014/chart" uri="{C3380CC4-5D6E-409C-BE32-E72D297353CC}">
              <c16:uniqueId val="{00000000-1032-47AD-8FE2-61BF8082DC47}"/>
            </c:ext>
          </c:extLst>
        </c:ser>
        <c:ser>
          <c:idx val="1"/>
          <c:order val="1"/>
          <c:tx>
            <c:strRef>
              <c:f>Pivots!$N$14:$N$16</c:f>
              <c:strCache>
                <c:ptCount val="1"/>
                <c:pt idx="0">
                  <c:v>Sales - Profit</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Pivots!$L$17:$L$20</c:f>
              <c:strCache>
                <c:ptCount val="3"/>
                <c:pt idx="0">
                  <c:v>High</c:v>
                </c:pt>
                <c:pt idx="1">
                  <c:v>Low</c:v>
                </c:pt>
                <c:pt idx="2">
                  <c:v>Medium</c:v>
                </c:pt>
              </c:strCache>
            </c:strRef>
          </c:cat>
          <c:val>
            <c:numRef>
              <c:f>Pivots!$N$17:$N$20</c:f>
              <c:numCache>
                <c:formatCode>0.00</c:formatCode>
                <c:ptCount val="3"/>
                <c:pt idx="0">
                  <c:v>1919.91</c:v>
                </c:pt>
                <c:pt idx="1">
                  <c:v>116318.93399999999</c:v>
                </c:pt>
                <c:pt idx="2">
                  <c:v>86328.781499999997</c:v>
                </c:pt>
              </c:numCache>
            </c:numRef>
          </c:val>
          <c:extLst>
            <c:ext xmlns:c16="http://schemas.microsoft.com/office/drawing/2014/chart" uri="{C3380CC4-5D6E-409C-BE32-E72D297353CC}">
              <c16:uniqueId val="{00000001-1032-47AD-8FE2-61BF8082DC47}"/>
            </c:ext>
          </c:extLst>
        </c:ser>
        <c:ser>
          <c:idx val="2"/>
          <c:order val="2"/>
          <c:tx>
            <c:strRef>
              <c:f>Pivots!$O$14:$O$16</c:f>
              <c:strCache>
                <c:ptCount val="1"/>
                <c:pt idx="0">
                  <c:v>Profit - Loss</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Pivots!$L$17:$L$20</c:f>
              <c:strCache>
                <c:ptCount val="3"/>
                <c:pt idx="0">
                  <c:v>High</c:v>
                </c:pt>
                <c:pt idx="1">
                  <c:v>Low</c:v>
                </c:pt>
                <c:pt idx="2">
                  <c:v>Medium</c:v>
                </c:pt>
              </c:strCache>
            </c:strRef>
          </c:cat>
          <c:val>
            <c:numRef>
              <c:f>Pivots!$O$17:$O$20</c:f>
              <c:numCache>
                <c:formatCode>0.00</c:formatCode>
                <c:ptCount val="3"/>
                <c:pt idx="0">
                  <c:v>-22189.16</c:v>
                </c:pt>
                <c:pt idx="2">
                  <c:v>-2153.5626999999999</c:v>
                </c:pt>
              </c:numCache>
            </c:numRef>
          </c:val>
          <c:extLst>
            <c:ext xmlns:c16="http://schemas.microsoft.com/office/drawing/2014/chart" uri="{C3380CC4-5D6E-409C-BE32-E72D297353CC}">
              <c16:uniqueId val="{00000002-1032-47AD-8FE2-61BF8082DC47}"/>
            </c:ext>
          </c:extLst>
        </c:ser>
        <c:ser>
          <c:idx val="3"/>
          <c:order val="3"/>
          <c:tx>
            <c:strRef>
              <c:f>Pivots!$P$14:$P$16</c:f>
              <c:strCache>
                <c:ptCount val="1"/>
                <c:pt idx="0">
                  <c:v>Profit - Profit</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Pivots!$L$17:$L$20</c:f>
              <c:strCache>
                <c:ptCount val="3"/>
                <c:pt idx="0">
                  <c:v>High</c:v>
                </c:pt>
                <c:pt idx="1">
                  <c:v>Low</c:v>
                </c:pt>
                <c:pt idx="2">
                  <c:v>Medium</c:v>
                </c:pt>
              </c:strCache>
            </c:strRef>
          </c:cat>
          <c:val>
            <c:numRef>
              <c:f>Pivots!$P$17:$P$20</c:f>
              <c:numCache>
                <c:formatCode>0.00</c:formatCode>
                <c:ptCount val="3"/>
                <c:pt idx="0">
                  <c:v>255.988</c:v>
                </c:pt>
                <c:pt idx="1">
                  <c:v>31531.7958</c:v>
                </c:pt>
                <c:pt idx="2">
                  <c:v>15763.1769</c:v>
                </c:pt>
              </c:numCache>
            </c:numRef>
          </c:val>
          <c:extLst>
            <c:ext xmlns:c16="http://schemas.microsoft.com/office/drawing/2014/chart" uri="{C3380CC4-5D6E-409C-BE32-E72D297353CC}">
              <c16:uniqueId val="{00000003-1032-47AD-8FE2-61BF8082DC47}"/>
            </c:ext>
          </c:extLst>
        </c:ser>
        <c:dLbls>
          <c:showLegendKey val="0"/>
          <c:showVal val="0"/>
          <c:showCatName val="0"/>
          <c:showSerName val="0"/>
          <c:showPercent val="0"/>
          <c:showBubbleSize val="0"/>
        </c:dLbls>
        <c:gapWidth val="150"/>
        <c:overlap val="100"/>
        <c:axId val="1642150863"/>
        <c:axId val="1642144623"/>
      </c:barChart>
      <c:catAx>
        <c:axId val="1642150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44623"/>
        <c:crosses val="autoZero"/>
        <c:auto val="1"/>
        <c:lblAlgn val="ctr"/>
        <c:lblOffset val="100"/>
        <c:noMultiLvlLbl val="0"/>
      </c:catAx>
      <c:valAx>
        <c:axId val="16421446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175260</xdr:rowOff>
    </xdr:from>
    <xdr:to>
      <xdr:col>2</xdr:col>
      <xdr:colOff>594360</xdr:colOff>
      <xdr:row>4</xdr:row>
      <xdr:rowOff>152400</xdr:rowOff>
    </xdr:to>
    <xdr:sp macro="" textlink="">
      <xdr:nvSpPr>
        <xdr:cNvPr id="2" name="Rectangle: Rounded Corners 1">
          <a:extLst>
            <a:ext uri="{FF2B5EF4-FFF2-40B4-BE49-F238E27FC236}">
              <a16:creationId xmlns:a16="http://schemas.microsoft.com/office/drawing/2014/main" id="{6B5DB729-470E-70E3-AB5B-B74C24E4575C}"/>
            </a:ext>
          </a:extLst>
        </xdr:cNvPr>
        <xdr:cNvSpPr/>
      </xdr:nvSpPr>
      <xdr:spPr>
        <a:xfrm>
          <a:off x="68580" y="175260"/>
          <a:ext cx="1744980" cy="708660"/>
        </a:xfrm>
        <a:prstGeom prst="roundRect">
          <a:avLst/>
        </a:prstGeom>
        <a:solidFill>
          <a:srgbClr val="F7F7F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99060</xdr:colOff>
      <xdr:row>11</xdr:row>
      <xdr:rowOff>15240</xdr:rowOff>
    </xdr:from>
    <xdr:to>
      <xdr:col>3</xdr:col>
      <xdr:colOff>16764</xdr:colOff>
      <xdr:row>14</xdr:row>
      <xdr:rowOff>179832</xdr:rowOff>
    </xdr:to>
    <xdr:sp macro="" textlink="">
      <xdr:nvSpPr>
        <xdr:cNvPr id="5" name="Rectangle: Rounded Corners 4">
          <a:extLst>
            <a:ext uri="{FF2B5EF4-FFF2-40B4-BE49-F238E27FC236}">
              <a16:creationId xmlns:a16="http://schemas.microsoft.com/office/drawing/2014/main" id="{E4123E06-F5CC-4AEA-B0F7-19C36EF04F66}"/>
            </a:ext>
          </a:extLst>
        </xdr:cNvPr>
        <xdr:cNvSpPr/>
      </xdr:nvSpPr>
      <xdr:spPr>
        <a:xfrm>
          <a:off x="99060" y="2026920"/>
          <a:ext cx="1746504" cy="713232"/>
        </a:xfrm>
        <a:prstGeom prst="roundRect">
          <a:avLst/>
        </a:prstGeom>
        <a:solidFill>
          <a:srgbClr val="F7F7F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106680</xdr:colOff>
      <xdr:row>21</xdr:row>
      <xdr:rowOff>129540</xdr:rowOff>
    </xdr:from>
    <xdr:to>
      <xdr:col>3</xdr:col>
      <xdr:colOff>24384</xdr:colOff>
      <xdr:row>25</xdr:row>
      <xdr:rowOff>111252</xdr:rowOff>
    </xdr:to>
    <xdr:sp macro="" textlink="">
      <xdr:nvSpPr>
        <xdr:cNvPr id="6" name="Rectangle: Rounded Corners 5">
          <a:extLst>
            <a:ext uri="{FF2B5EF4-FFF2-40B4-BE49-F238E27FC236}">
              <a16:creationId xmlns:a16="http://schemas.microsoft.com/office/drawing/2014/main" id="{55531ADE-5790-4846-8B75-5853D528D8FB}"/>
            </a:ext>
          </a:extLst>
        </xdr:cNvPr>
        <xdr:cNvSpPr/>
      </xdr:nvSpPr>
      <xdr:spPr>
        <a:xfrm>
          <a:off x="106680" y="3970020"/>
          <a:ext cx="1746504" cy="713232"/>
        </a:xfrm>
        <a:prstGeom prst="roundRect">
          <a:avLst/>
        </a:prstGeom>
        <a:solidFill>
          <a:srgbClr val="F7F7F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76200</xdr:colOff>
      <xdr:row>6</xdr:row>
      <xdr:rowOff>15240</xdr:rowOff>
    </xdr:from>
    <xdr:to>
      <xdr:col>2</xdr:col>
      <xdr:colOff>603504</xdr:colOff>
      <xdr:row>9</xdr:row>
      <xdr:rowOff>179832</xdr:rowOff>
    </xdr:to>
    <xdr:sp macro="" textlink="">
      <xdr:nvSpPr>
        <xdr:cNvPr id="7" name="Rectangle: Rounded Corners 6">
          <a:extLst>
            <a:ext uri="{FF2B5EF4-FFF2-40B4-BE49-F238E27FC236}">
              <a16:creationId xmlns:a16="http://schemas.microsoft.com/office/drawing/2014/main" id="{64831EA8-764D-4128-8EDC-5653EBC1B512}"/>
            </a:ext>
          </a:extLst>
        </xdr:cNvPr>
        <xdr:cNvSpPr/>
      </xdr:nvSpPr>
      <xdr:spPr>
        <a:xfrm>
          <a:off x="76200" y="1112520"/>
          <a:ext cx="1746504" cy="713232"/>
        </a:xfrm>
        <a:prstGeom prst="roundRect">
          <a:avLst/>
        </a:prstGeom>
        <a:solidFill>
          <a:srgbClr val="F7F7F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121920</xdr:colOff>
      <xdr:row>16</xdr:row>
      <xdr:rowOff>106680</xdr:rowOff>
    </xdr:from>
    <xdr:to>
      <xdr:col>3</xdr:col>
      <xdr:colOff>39624</xdr:colOff>
      <xdr:row>20</xdr:row>
      <xdr:rowOff>88392</xdr:rowOff>
    </xdr:to>
    <xdr:sp macro="" textlink="">
      <xdr:nvSpPr>
        <xdr:cNvPr id="8" name="Rectangle: Rounded Corners 7">
          <a:extLst>
            <a:ext uri="{FF2B5EF4-FFF2-40B4-BE49-F238E27FC236}">
              <a16:creationId xmlns:a16="http://schemas.microsoft.com/office/drawing/2014/main" id="{DEAC8019-5198-48E0-8751-133538AE1072}"/>
            </a:ext>
          </a:extLst>
        </xdr:cNvPr>
        <xdr:cNvSpPr/>
      </xdr:nvSpPr>
      <xdr:spPr>
        <a:xfrm>
          <a:off x="121920" y="3032760"/>
          <a:ext cx="1746504" cy="713232"/>
        </a:xfrm>
        <a:prstGeom prst="roundRect">
          <a:avLst/>
        </a:prstGeom>
        <a:solidFill>
          <a:srgbClr val="F7F7F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2</xdr:col>
      <xdr:colOff>144780</xdr:colOff>
      <xdr:row>9</xdr:row>
      <xdr:rowOff>15240</xdr:rowOff>
    </xdr:from>
    <xdr:to>
      <xdr:col>5</xdr:col>
      <xdr:colOff>182880</xdr:colOff>
      <xdr:row>11</xdr:row>
      <xdr:rowOff>137160</xdr:rowOff>
    </xdr:to>
    <xdr:sp macro="" textlink="">
      <xdr:nvSpPr>
        <xdr:cNvPr id="21" name="Rectangle: Rounded Corners 20">
          <a:extLst>
            <a:ext uri="{FF2B5EF4-FFF2-40B4-BE49-F238E27FC236}">
              <a16:creationId xmlns:a16="http://schemas.microsoft.com/office/drawing/2014/main" id="{C215ABD0-44DE-553C-82F6-E3ED5C11898D}"/>
            </a:ext>
          </a:extLst>
        </xdr:cNvPr>
        <xdr:cNvSpPr/>
      </xdr:nvSpPr>
      <xdr:spPr>
        <a:xfrm>
          <a:off x="1363980" y="1661160"/>
          <a:ext cx="1866900" cy="48768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342900</xdr:colOff>
      <xdr:row>13</xdr:row>
      <xdr:rowOff>0</xdr:rowOff>
    </xdr:from>
    <xdr:to>
      <xdr:col>5</xdr:col>
      <xdr:colOff>68580</xdr:colOff>
      <xdr:row>14</xdr:row>
      <xdr:rowOff>160020</xdr:rowOff>
    </xdr:to>
    <xdr:sp macro="" textlink="">
      <xdr:nvSpPr>
        <xdr:cNvPr id="22" name="Rectangle: Rounded Corners 21">
          <a:extLst>
            <a:ext uri="{FF2B5EF4-FFF2-40B4-BE49-F238E27FC236}">
              <a16:creationId xmlns:a16="http://schemas.microsoft.com/office/drawing/2014/main" id="{EE4721B9-405A-A62B-CF61-54F1C98D1866}"/>
            </a:ext>
          </a:extLst>
        </xdr:cNvPr>
        <xdr:cNvSpPr/>
      </xdr:nvSpPr>
      <xdr:spPr>
        <a:xfrm>
          <a:off x="1562100" y="2377440"/>
          <a:ext cx="1554480" cy="342900"/>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0</xdr:row>
      <xdr:rowOff>167640</xdr:rowOff>
    </xdr:from>
    <xdr:to>
      <xdr:col>3</xdr:col>
      <xdr:colOff>30480</xdr:colOff>
      <xdr:row>3</xdr:row>
      <xdr:rowOff>83820</xdr:rowOff>
    </xdr:to>
    <xdr:sp macro="" textlink="$G$3">
      <xdr:nvSpPr>
        <xdr:cNvPr id="23" name="Rectangle: Rounded Corners 22">
          <a:extLst>
            <a:ext uri="{FF2B5EF4-FFF2-40B4-BE49-F238E27FC236}">
              <a16:creationId xmlns:a16="http://schemas.microsoft.com/office/drawing/2014/main" id="{C8E9C552-DDD7-7919-FA6A-036CB2982BE7}"/>
            </a:ext>
          </a:extLst>
        </xdr:cNvPr>
        <xdr:cNvSpPr/>
      </xdr:nvSpPr>
      <xdr:spPr>
        <a:xfrm>
          <a:off x="22860" y="167640"/>
          <a:ext cx="1836420" cy="46482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6CC687A6-9BBA-437B-8581-AC50A0F601E9}"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l"/>
            <a:t>273172.8211</a:t>
          </a:fld>
          <a:endParaRPr lang="en-IN" sz="2000" b="1">
            <a:latin typeface="Segoe UI" panose="020B0502040204020203" pitchFamily="34" charset="0"/>
            <a:cs typeface="Segoe UI" panose="020B0502040204020203" pitchFamily="34" charset="0"/>
          </a:endParaRPr>
        </a:p>
      </xdr:txBody>
    </xdr:sp>
    <xdr:clientData/>
  </xdr:twoCellAnchor>
  <xdr:twoCellAnchor>
    <xdr:from>
      <xdr:col>0</xdr:col>
      <xdr:colOff>449580</xdr:colOff>
      <xdr:row>2</xdr:row>
      <xdr:rowOff>144780</xdr:rowOff>
    </xdr:from>
    <xdr:to>
      <xdr:col>2</xdr:col>
      <xdr:colOff>327660</xdr:colOff>
      <xdr:row>4</xdr:row>
      <xdr:rowOff>121920</xdr:rowOff>
    </xdr:to>
    <xdr:sp macro="" textlink="">
      <xdr:nvSpPr>
        <xdr:cNvPr id="24" name="Rectangle: Rounded Corners 23">
          <a:extLst>
            <a:ext uri="{FF2B5EF4-FFF2-40B4-BE49-F238E27FC236}">
              <a16:creationId xmlns:a16="http://schemas.microsoft.com/office/drawing/2014/main" id="{3803D70F-0C2F-875C-562C-9A7F7DAC5662}"/>
            </a:ext>
          </a:extLst>
        </xdr:cNvPr>
        <xdr:cNvSpPr/>
      </xdr:nvSpPr>
      <xdr:spPr>
        <a:xfrm>
          <a:off x="449580" y="510540"/>
          <a:ext cx="109728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lumMod val="85000"/>
                  <a:lumOff val="15000"/>
                </a:schemeClr>
              </a:solidFill>
            </a:rPr>
            <a:t>Total Sales</a:t>
          </a:r>
        </a:p>
      </xdr:txBody>
    </xdr:sp>
    <xdr:clientData/>
  </xdr:twoCellAnchor>
  <xdr:twoCellAnchor>
    <xdr:from>
      <xdr:col>0</xdr:col>
      <xdr:colOff>137160</xdr:colOff>
      <xdr:row>5</xdr:row>
      <xdr:rowOff>137160</xdr:rowOff>
    </xdr:from>
    <xdr:to>
      <xdr:col>3</xdr:col>
      <xdr:colOff>396240</xdr:colOff>
      <xdr:row>8</xdr:row>
      <xdr:rowOff>106680</xdr:rowOff>
    </xdr:to>
    <xdr:sp macro="" textlink="$G$4">
      <xdr:nvSpPr>
        <xdr:cNvPr id="26" name="Rectangle: Rounded Corners 25">
          <a:extLst>
            <a:ext uri="{FF2B5EF4-FFF2-40B4-BE49-F238E27FC236}">
              <a16:creationId xmlns:a16="http://schemas.microsoft.com/office/drawing/2014/main" id="{06E4D731-8074-7078-12D0-5C4FBBC9CFB3}"/>
            </a:ext>
          </a:extLst>
        </xdr:cNvPr>
        <xdr:cNvSpPr/>
      </xdr:nvSpPr>
      <xdr:spPr>
        <a:xfrm>
          <a:off x="137160" y="1051560"/>
          <a:ext cx="2087880" cy="5181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F13524-FC56-4C54-AE0B-3AFA086DFCD0}"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l"/>
            <a:t>23208.238</a:t>
          </a:fld>
          <a:endParaRPr lang="en-IN" sz="2000" b="1">
            <a:latin typeface="Segoe UI" panose="020B0502040204020203" pitchFamily="34" charset="0"/>
            <a:cs typeface="Segoe UI" panose="020B0502040204020203" pitchFamily="34" charset="0"/>
          </a:endParaRPr>
        </a:p>
      </xdr:txBody>
    </xdr:sp>
    <xdr:clientData/>
  </xdr:twoCellAnchor>
  <xdr:twoCellAnchor>
    <xdr:from>
      <xdr:col>0</xdr:col>
      <xdr:colOff>480060</xdr:colOff>
      <xdr:row>7</xdr:row>
      <xdr:rowOff>114300</xdr:rowOff>
    </xdr:from>
    <xdr:to>
      <xdr:col>3</xdr:col>
      <xdr:colOff>160020</xdr:colOff>
      <xdr:row>9</xdr:row>
      <xdr:rowOff>15240</xdr:rowOff>
    </xdr:to>
    <xdr:sp macro="" textlink="">
      <xdr:nvSpPr>
        <xdr:cNvPr id="27" name="Rectangle: Rounded Corners 26">
          <a:extLst>
            <a:ext uri="{FF2B5EF4-FFF2-40B4-BE49-F238E27FC236}">
              <a16:creationId xmlns:a16="http://schemas.microsoft.com/office/drawing/2014/main" id="{397A31CD-4C00-57DF-79CB-1B4DECD3613F}"/>
            </a:ext>
          </a:extLst>
        </xdr:cNvPr>
        <xdr:cNvSpPr/>
      </xdr:nvSpPr>
      <xdr:spPr>
        <a:xfrm>
          <a:off x="480060" y="1394460"/>
          <a:ext cx="1508760"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lumMod val="85000"/>
                  <a:lumOff val="15000"/>
                </a:schemeClr>
              </a:solidFill>
              <a:latin typeface="Segoe UI" panose="020B0502040204020203" pitchFamily="34" charset="0"/>
              <a:cs typeface="Segoe UI" panose="020B0502040204020203" pitchFamily="34" charset="0"/>
            </a:rPr>
            <a:t>Total Profit</a:t>
          </a:r>
        </a:p>
      </xdr:txBody>
    </xdr:sp>
    <xdr:clientData/>
  </xdr:twoCellAnchor>
  <xdr:twoCellAnchor>
    <xdr:from>
      <xdr:col>0</xdr:col>
      <xdr:colOff>472440</xdr:colOff>
      <xdr:row>16</xdr:row>
      <xdr:rowOff>60960</xdr:rowOff>
    </xdr:from>
    <xdr:to>
      <xdr:col>3</xdr:col>
      <xdr:colOff>320040</xdr:colOff>
      <xdr:row>18</xdr:row>
      <xdr:rowOff>129540</xdr:rowOff>
    </xdr:to>
    <xdr:sp macro="" textlink="$G$5">
      <xdr:nvSpPr>
        <xdr:cNvPr id="28" name="Rectangle: Rounded Corners 27">
          <a:extLst>
            <a:ext uri="{FF2B5EF4-FFF2-40B4-BE49-F238E27FC236}">
              <a16:creationId xmlns:a16="http://schemas.microsoft.com/office/drawing/2014/main" id="{E76C4BB5-CAE1-7202-538B-45DE1BB72793}"/>
            </a:ext>
          </a:extLst>
        </xdr:cNvPr>
        <xdr:cNvSpPr/>
      </xdr:nvSpPr>
      <xdr:spPr>
        <a:xfrm>
          <a:off x="472440" y="2987040"/>
          <a:ext cx="167640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246EC23-099F-4AAC-A8F1-701A861738A1}"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l"/>
            <a:t>1237</a:t>
          </a:fld>
          <a:endParaRPr lang="en-IN" sz="2000" b="1">
            <a:latin typeface="Segoe UI" panose="020B0502040204020203" pitchFamily="34" charset="0"/>
            <a:cs typeface="Segoe UI" panose="020B0502040204020203" pitchFamily="34" charset="0"/>
          </a:endParaRPr>
        </a:p>
      </xdr:txBody>
    </xdr:sp>
    <xdr:clientData/>
  </xdr:twoCellAnchor>
  <xdr:twoCellAnchor>
    <xdr:from>
      <xdr:col>0</xdr:col>
      <xdr:colOff>358140</xdr:colOff>
      <xdr:row>11</xdr:row>
      <xdr:rowOff>7620</xdr:rowOff>
    </xdr:from>
    <xdr:to>
      <xdr:col>3</xdr:col>
      <xdr:colOff>457200</xdr:colOff>
      <xdr:row>13</xdr:row>
      <xdr:rowOff>91440</xdr:rowOff>
    </xdr:to>
    <xdr:sp macro="" textlink="$G$6">
      <xdr:nvSpPr>
        <xdr:cNvPr id="29" name="Rectangle: Rounded Corners 28">
          <a:extLst>
            <a:ext uri="{FF2B5EF4-FFF2-40B4-BE49-F238E27FC236}">
              <a16:creationId xmlns:a16="http://schemas.microsoft.com/office/drawing/2014/main" id="{376F931B-D382-3F20-97D8-94E60293D4C7}"/>
            </a:ext>
          </a:extLst>
        </xdr:cNvPr>
        <xdr:cNvSpPr/>
      </xdr:nvSpPr>
      <xdr:spPr>
        <a:xfrm>
          <a:off x="358140" y="2019300"/>
          <a:ext cx="1927860" cy="4495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06CA39-BBC0-448A-8BB6-CFFC47554B19}"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l"/>
            <a:t>11.27%</a:t>
          </a:fld>
          <a:endParaRPr lang="en-IN" sz="2000" b="1">
            <a:latin typeface="Segoe UI" panose="020B0502040204020203" pitchFamily="34" charset="0"/>
            <a:cs typeface="Segoe UI" panose="020B0502040204020203" pitchFamily="34" charset="0"/>
          </a:endParaRPr>
        </a:p>
      </xdr:txBody>
    </xdr:sp>
    <xdr:clientData/>
  </xdr:twoCellAnchor>
  <xdr:twoCellAnchor>
    <xdr:from>
      <xdr:col>0</xdr:col>
      <xdr:colOff>129540</xdr:colOff>
      <xdr:row>21</xdr:row>
      <xdr:rowOff>167640</xdr:rowOff>
    </xdr:from>
    <xdr:to>
      <xdr:col>3</xdr:col>
      <xdr:colOff>114300</xdr:colOff>
      <xdr:row>24</xdr:row>
      <xdr:rowOff>7620</xdr:rowOff>
    </xdr:to>
    <xdr:sp macro="" textlink="$G$8">
      <xdr:nvSpPr>
        <xdr:cNvPr id="32" name="Rectangle: Rounded Corners 31">
          <a:extLst>
            <a:ext uri="{FF2B5EF4-FFF2-40B4-BE49-F238E27FC236}">
              <a16:creationId xmlns:a16="http://schemas.microsoft.com/office/drawing/2014/main" id="{F94DCA1A-A34F-D824-E0E6-EB3604D01B72}"/>
            </a:ext>
          </a:extLst>
        </xdr:cNvPr>
        <xdr:cNvSpPr/>
      </xdr:nvSpPr>
      <xdr:spPr>
        <a:xfrm>
          <a:off x="129540" y="4008120"/>
          <a:ext cx="1813560" cy="3886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80695A-CF21-46B9-AA70-CD716E844F31}"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l"/>
            <a:t>220.8349403</a:t>
          </a:fld>
          <a:endParaRPr lang="en-IN" sz="2000" b="1">
            <a:latin typeface="Segoe UI" panose="020B0502040204020203" pitchFamily="34" charset="0"/>
            <a:cs typeface="Segoe UI" panose="020B0502040204020203" pitchFamily="34" charset="0"/>
          </a:endParaRPr>
        </a:p>
      </xdr:txBody>
    </xdr:sp>
    <xdr:clientData/>
  </xdr:twoCellAnchor>
  <xdr:twoCellAnchor>
    <xdr:from>
      <xdr:col>0</xdr:col>
      <xdr:colOff>320040</xdr:colOff>
      <xdr:row>18</xdr:row>
      <xdr:rowOff>60960</xdr:rowOff>
    </xdr:from>
    <xdr:to>
      <xdr:col>3</xdr:col>
      <xdr:colOff>327660</xdr:colOff>
      <xdr:row>20</xdr:row>
      <xdr:rowOff>22860</xdr:rowOff>
    </xdr:to>
    <xdr:sp macro="" textlink="">
      <xdr:nvSpPr>
        <xdr:cNvPr id="33" name="Rectangle: Rounded Corners 32">
          <a:extLst>
            <a:ext uri="{FF2B5EF4-FFF2-40B4-BE49-F238E27FC236}">
              <a16:creationId xmlns:a16="http://schemas.microsoft.com/office/drawing/2014/main" id="{AA3CB9E5-5755-36B2-E5C8-0AF05B71A4EB}"/>
            </a:ext>
          </a:extLst>
        </xdr:cNvPr>
        <xdr:cNvSpPr/>
      </xdr:nvSpPr>
      <xdr:spPr>
        <a:xfrm>
          <a:off x="320040" y="3352800"/>
          <a:ext cx="183642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lumMod val="85000"/>
                  <a:lumOff val="15000"/>
                </a:schemeClr>
              </a:solidFill>
              <a:latin typeface="Segoe UI" panose="020B0502040204020203" pitchFamily="34" charset="0"/>
              <a:cs typeface="Segoe UI" panose="020B0502040204020203" pitchFamily="34" charset="0"/>
            </a:rPr>
            <a:t>Total Orders</a:t>
          </a:r>
        </a:p>
      </xdr:txBody>
    </xdr:sp>
    <xdr:clientData/>
  </xdr:twoCellAnchor>
  <xdr:twoCellAnchor>
    <xdr:from>
      <xdr:col>0</xdr:col>
      <xdr:colOff>68580</xdr:colOff>
      <xdr:row>12</xdr:row>
      <xdr:rowOff>137160</xdr:rowOff>
    </xdr:from>
    <xdr:to>
      <xdr:col>3</xdr:col>
      <xdr:colOff>213360</xdr:colOff>
      <xdr:row>16</xdr:row>
      <xdr:rowOff>15240</xdr:rowOff>
    </xdr:to>
    <xdr:sp macro="" textlink="">
      <xdr:nvSpPr>
        <xdr:cNvPr id="34" name="Rectangle: Rounded Corners 33">
          <a:extLst>
            <a:ext uri="{FF2B5EF4-FFF2-40B4-BE49-F238E27FC236}">
              <a16:creationId xmlns:a16="http://schemas.microsoft.com/office/drawing/2014/main" id="{CC167388-E0E1-A751-F555-9DE1FECA2367}"/>
            </a:ext>
          </a:extLst>
        </xdr:cNvPr>
        <xdr:cNvSpPr/>
      </xdr:nvSpPr>
      <xdr:spPr>
        <a:xfrm>
          <a:off x="68580" y="2331720"/>
          <a:ext cx="1973580" cy="609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lumMod val="85000"/>
                  <a:lumOff val="15000"/>
                </a:schemeClr>
              </a:solidFill>
              <a:latin typeface="Segoe UI" panose="020B0502040204020203" pitchFamily="34" charset="0"/>
              <a:cs typeface="Segoe UI" panose="020B0502040204020203" pitchFamily="34" charset="0"/>
            </a:rPr>
            <a:t>Average Profit Margin</a:t>
          </a:r>
        </a:p>
      </xdr:txBody>
    </xdr:sp>
    <xdr:clientData/>
  </xdr:twoCellAnchor>
  <xdr:twoCellAnchor>
    <xdr:from>
      <xdr:col>0</xdr:col>
      <xdr:colOff>251460</xdr:colOff>
      <xdr:row>23</xdr:row>
      <xdr:rowOff>106680</xdr:rowOff>
    </xdr:from>
    <xdr:to>
      <xdr:col>4</xdr:col>
      <xdr:colOff>15240</xdr:colOff>
      <xdr:row>26</xdr:row>
      <xdr:rowOff>30480</xdr:rowOff>
    </xdr:to>
    <xdr:sp macro="" textlink="">
      <xdr:nvSpPr>
        <xdr:cNvPr id="36" name="Rectangle: Rounded Corners 35">
          <a:extLst>
            <a:ext uri="{FF2B5EF4-FFF2-40B4-BE49-F238E27FC236}">
              <a16:creationId xmlns:a16="http://schemas.microsoft.com/office/drawing/2014/main" id="{543B7229-1F32-4EC7-B886-15929DDBFBDE}"/>
            </a:ext>
          </a:extLst>
        </xdr:cNvPr>
        <xdr:cNvSpPr/>
      </xdr:nvSpPr>
      <xdr:spPr>
        <a:xfrm>
          <a:off x="251460" y="4312920"/>
          <a:ext cx="2202180" cy="4724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lumMod val="85000"/>
                  <a:lumOff val="15000"/>
                </a:schemeClr>
              </a:solidFill>
              <a:latin typeface="Segoe UI" panose="020B0502040204020203" pitchFamily="34" charset="0"/>
              <a:cs typeface="Segoe UI" panose="020B0502040204020203" pitchFamily="34" charset="0"/>
            </a:rPr>
            <a:t>Sales per Order</a:t>
          </a:r>
        </a:p>
      </xdr:txBody>
    </xdr:sp>
    <xdr:clientData/>
  </xdr:twoCellAnchor>
  <xdr:twoCellAnchor>
    <xdr:from>
      <xdr:col>0</xdr:col>
      <xdr:colOff>365760</xdr:colOff>
      <xdr:row>3</xdr:row>
      <xdr:rowOff>38100</xdr:rowOff>
    </xdr:from>
    <xdr:to>
      <xdr:col>0</xdr:col>
      <xdr:colOff>533400</xdr:colOff>
      <xdr:row>4</xdr:row>
      <xdr:rowOff>22860</xdr:rowOff>
    </xdr:to>
    <xdr:sp macro="" textlink="">
      <xdr:nvSpPr>
        <xdr:cNvPr id="37" name="Oval 36">
          <a:extLst>
            <a:ext uri="{FF2B5EF4-FFF2-40B4-BE49-F238E27FC236}">
              <a16:creationId xmlns:a16="http://schemas.microsoft.com/office/drawing/2014/main" id="{D0E9A32A-E580-BA0E-CE6F-F261E3BBF7F4}"/>
            </a:ext>
          </a:extLst>
        </xdr:cNvPr>
        <xdr:cNvSpPr/>
      </xdr:nvSpPr>
      <xdr:spPr>
        <a:xfrm>
          <a:off x="365760" y="586740"/>
          <a:ext cx="167640" cy="167640"/>
        </a:xfrm>
        <a:prstGeom prst="ellipse">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8</xdr:row>
      <xdr:rowOff>30480</xdr:rowOff>
    </xdr:from>
    <xdr:to>
      <xdr:col>0</xdr:col>
      <xdr:colOff>518160</xdr:colOff>
      <xdr:row>9</xdr:row>
      <xdr:rowOff>15240</xdr:rowOff>
    </xdr:to>
    <xdr:sp macro="" textlink="">
      <xdr:nvSpPr>
        <xdr:cNvPr id="38" name="Oval 37">
          <a:extLst>
            <a:ext uri="{FF2B5EF4-FFF2-40B4-BE49-F238E27FC236}">
              <a16:creationId xmlns:a16="http://schemas.microsoft.com/office/drawing/2014/main" id="{51D5559A-21CC-40AB-B839-76A2A5C837EC}"/>
            </a:ext>
          </a:extLst>
        </xdr:cNvPr>
        <xdr:cNvSpPr/>
      </xdr:nvSpPr>
      <xdr:spPr>
        <a:xfrm>
          <a:off x="350520" y="1493520"/>
          <a:ext cx="167640" cy="167640"/>
        </a:xfrm>
        <a:prstGeom prst="ellipse">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3</xdr:row>
      <xdr:rowOff>83820</xdr:rowOff>
    </xdr:from>
    <xdr:to>
      <xdr:col>10</xdr:col>
      <xdr:colOff>518160</xdr:colOff>
      <xdr:row>25</xdr:row>
      <xdr:rowOff>91440</xdr:rowOff>
    </xdr:to>
    <xdr:graphicFrame macro="">
      <xdr:nvGraphicFramePr>
        <xdr:cNvPr id="3" name="Chart 2">
          <a:extLst>
            <a:ext uri="{FF2B5EF4-FFF2-40B4-BE49-F238E27FC236}">
              <a16:creationId xmlns:a16="http://schemas.microsoft.com/office/drawing/2014/main" id="{04A31B6E-AE1E-4F0E-AD5A-78772396C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15240</xdr:colOff>
      <xdr:row>0</xdr:row>
      <xdr:rowOff>160020</xdr:rowOff>
    </xdr:from>
    <xdr:to>
      <xdr:col>24</xdr:col>
      <xdr:colOff>144780</xdr:colOff>
      <xdr:row>11</xdr:row>
      <xdr:rowOff>121920</xdr:rowOff>
    </xdr:to>
    <xdr:graphicFrame macro="">
      <xdr:nvGraphicFramePr>
        <xdr:cNvPr id="4" name="Chart 3">
          <a:extLst>
            <a:ext uri="{FF2B5EF4-FFF2-40B4-BE49-F238E27FC236}">
              <a16:creationId xmlns:a16="http://schemas.microsoft.com/office/drawing/2014/main" id="{FC58D21C-F8BE-440B-BB76-E0C766D5B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11</xdr:row>
      <xdr:rowOff>137160</xdr:rowOff>
    </xdr:from>
    <xdr:to>
      <xdr:col>18</xdr:col>
      <xdr:colOff>15240</xdr:colOff>
      <xdr:row>25</xdr:row>
      <xdr:rowOff>91440</xdr:rowOff>
    </xdr:to>
    <xdr:graphicFrame macro="">
      <xdr:nvGraphicFramePr>
        <xdr:cNvPr id="9" name="Chart 8">
          <a:extLst>
            <a:ext uri="{FF2B5EF4-FFF2-40B4-BE49-F238E27FC236}">
              <a16:creationId xmlns:a16="http://schemas.microsoft.com/office/drawing/2014/main" id="{B211E60C-3063-42AF-81ED-24C76FDFB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601980</xdr:colOff>
      <xdr:row>3</xdr:row>
      <xdr:rowOff>114300</xdr:rowOff>
    </xdr:from>
    <xdr:to>
      <xdr:col>12</xdr:col>
      <xdr:colOff>556260</xdr:colOff>
      <xdr:row>11</xdr:row>
      <xdr:rowOff>38100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7080F6BF-B014-4E59-9F7C-8E577C2EE9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88380" y="662940"/>
              <a:ext cx="11734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3</xdr:row>
      <xdr:rowOff>129540</xdr:rowOff>
    </xdr:from>
    <xdr:to>
      <xdr:col>15</xdr:col>
      <xdr:colOff>7620</xdr:colOff>
      <xdr:row>11</xdr:row>
      <xdr:rowOff>53340</xdr:rowOff>
    </xdr:to>
    <mc:AlternateContent xmlns:mc="http://schemas.openxmlformats.org/markup-compatibility/2006" xmlns:a14="http://schemas.microsoft.com/office/drawing/2010/main">
      <mc:Choice Requires="a14">
        <xdr:graphicFrame macro="">
          <xdr:nvGraphicFramePr>
            <xdr:cNvPr id="12" name="order_year 1">
              <a:extLst>
                <a:ext uri="{FF2B5EF4-FFF2-40B4-BE49-F238E27FC236}">
                  <a16:creationId xmlns:a16="http://schemas.microsoft.com/office/drawing/2014/main" id="{4AAD8CE3-FBF2-4843-A727-DCD248E6F6F6}"/>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7277100" y="678180"/>
              <a:ext cx="12649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xdr:row>
      <xdr:rowOff>129540</xdr:rowOff>
    </xdr:from>
    <xdr:to>
      <xdr:col>16</xdr:col>
      <xdr:colOff>589280</xdr:colOff>
      <xdr:row>11</xdr:row>
      <xdr:rowOff>38100</xdr:rowOff>
    </xdr:to>
    <mc:AlternateContent xmlns:mc="http://schemas.openxmlformats.org/markup-compatibility/2006" xmlns:a14="http://schemas.microsoft.com/office/drawing/2010/main">
      <mc:Choice Requires="a14">
        <xdr:graphicFrame macro="">
          <xdr:nvGraphicFramePr>
            <xdr:cNvPr id="13" name="segment 1">
              <a:extLst>
                <a:ext uri="{FF2B5EF4-FFF2-40B4-BE49-F238E27FC236}">
                  <a16:creationId xmlns:a16="http://schemas.microsoft.com/office/drawing/2014/main" id="{04ACAA9E-9D89-4736-9DDF-20D8E97EB00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534400" y="678180"/>
              <a:ext cx="119888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15241</xdr:colOff>
      <xdr:row>3</xdr:row>
      <xdr:rowOff>114300</xdr:rowOff>
    </xdr:from>
    <xdr:to>
      <xdr:col>19</xdr:col>
      <xdr:colOff>7621</xdr:colOff>
      <xdr:row>11</xdr:row>
      <xdr:rowOff>60960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5D8BAAC2-6ED5-4154-8AEB-8D19D5AB167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768841" y="662940"/>
              <a:ext cx="121158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76200</xdr:colOff>
      <xdr:row>11</xdr:row>
      <xdr:rowOff>167640</xdr:rowOff>
    </xdr:from>
    <xdr:to>
      <xdr:col>24</xdr:col>
      <xdr:colOff>213360</xdr:colOff>
      <xdr:row>24</xdr:row>
      <xdr:rowOff>175260</xdr:rowOff>
    </xdr:to>
    <xdr:graphicFrame macro="">
      <xdr:nvGraphicFramePr>
        <xdr:cNvPr id="15" name="Chart 14">
          <a:extLst>
            <a:ext uri="{FF2B5EF4-FFF2-40B4-BE49-F238E27FC236}">
              <a16:creationId xmlns:a16="http://schemas.microsoft.com/office/drawing/2014/main" id="{CF699061-EF60-49E8-827E-EBB1531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3</xdr:row>
      <xdr:rowOff>22860</xdr:rowOff>
    </xdr:from>
    <xdr:to>
      <xdr:col>7</xdr:col>
      <xdr:colOff>358140</xdr:colOff>
      <xdr:row>13</xdr:row>
      <xdr:rowOff>144780</xdr:rowOff>
    </xdr:to>
    <xdr:sp macro="" textlink="">
      <xdr:nvSpPr>
        <xdr:cNvPr id="2" name="Rectangle: Rounded Corners 1">
          <a:extLst>
            <a:ext uri="{FF2B5EF4-FFF2-40B4-BE49-F238E27FC236}">
              <a16:creationId xmlns:a16="http://schemas.microsoft.com/office/drawing/2014/main" id="{161371C8-E814-8CD4-00AA-F8C0ED8FF66A}"/>
            </a:ext>
          </a:extLst>
        </xdr:cNvPr>
        <xdr:cNvSpPr/>
      </xdr:nvSpPr>
      <xdr:spPr>
        <a:xfrm>
          <a:off x="60960" y="571500"/>
          <a:ext cx="4564380"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3</xdr:row>
      <xdr:rowOff>22860</xdr:rowOff>
    </xdr:from>
    <xdr:to>
      <xdr:col>15</xdr:col>
      <xdr:colOff>181356</xdr:colOff>
      <xdr:row>13</xdr:row>
      <xdr:rowOff>144780</xdr:rowOff>
    </xdr:to>
    <xdr:sp macro="" textlink="">
      <xdr:nvSpPr>
        <xdr:cNvPr id="3" name="Rectangle: Rounded Corners 2">
          <a:extLst>
            <a:ext uri="{FF2B5EF4-FFF2-40B4-BE49-F238E27FC236}">
              <a16:creationId xmlns:a16="http://schemas.microsoft.com/office/drawing/2014/main" id="{8AF01193-0DC3-4E5D-85E8-79D1404E564F}"/>
            </a:ext>
          </a:extLst>
        </xdr:cNvPr>
        <xdr:cNvSpPr/>
      </xdr:nvSpPr>
      <xdr:spPr>
        <a:xfrm>
          <a:off x="4762500" y="57150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14</xdr:row>
      <xdr:rowOff>91440</xdr:rowOff>
    </xdr:from>
    <xdr:to>
      <xdr:col>15</xdr:col>
      <xdr:colOff>219456</xdr:colOff>
      <xdr:row>25</xdr:row>
      <xdr:rowOff>30480</xdr:rowOff>
    </xdr:to>
    <xdr:sp macro="" textlink="">
      <xdr:nvSpPr>
        <xdr:cNvPr id="4" name="Rectangle: Rounded Corners 3">
          <a:extLst>
            <a:ext uri="{FF2B5EF4-FFF2-40B4-BE49-F238E27FC236}">
              <a16:creationId xmlns:a16="http://schemas.microsoft.com/office/drawing/2014/main" id="{996115E4-50FB-4C3A-9E46-D0EC9BCD96DF}"/>
            </a:ext>
          </a:extLst>
        </xdr:cNvPr>
        <xdr:cNvSpPr/>
      </xdr:nvSpPr>
      <xdr:spPr>
        <a:xfrm>
          <a:off x="4800600" y="265176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403860</xdr:colOff>
      <xdr:row>14</xdr:row>
      <xdr:rowOff>45720</xdr:rowOff>
    </xdr:from>
    <xdr:to>
      <xdr:col>23</xdr:col>
      <xdr:colOff>89916</xdr:colOff>
      <xdr:row>24</xdr:row>
      <xdr:rowOff>167640</xdr:rowOff>
    </xdr:to>
    <xdr:sp macro="" textlink="">
      <xdr:nvSpPr>
        <xdr:cNvPr id="5" name="Rectangle: Rounded Corners 4">
          <a:extLst>
            <a:ext uri="{FF2B5EF4-FFF2-40B4-BE49-F238E27FC236}">
              <a16:creationId xmlns:a16="http://schemas.microsoft.com/office/drawing/2014/main" id="{6CCC1261-DB5C-4EB8-AC72-29FA7102AF38}"/>
            </a:ext>
          </a:extLst>
        </xdr:cNvPr>
        <xdr:cNvSpPr/>
      </xdr:nvSpPr>
      <xdr:spPr>
        <a:xfrm>
          <a:off x="9547860" y="260604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388620</xdr:colOff>
      <xdr:row>2</xdr:row>
      <xdr:rowOff>160020</xdr:rowOff>
    </xdr:from>
    <xdr:to>
      <xdr:col>23</xdr:col>
      <xdr:colOff>74676</xdr:colOff>
      <xdr:row>13</xdr:row>
      <xdr:rowOff>99060</xdr:rowOff>
    </xdr:to>
    <xdr:sp macro="" textlink="">
      <xdr:nvSpPr>
        <xdr:cNvPr id="6" name="Rectangle: Rounded Corners 5">
          <a:extLst>
            <a:ext uri="{FF2B5EF4-FFF2-40B4-BE49-F238E27FC236}">
              <a16:creationId xmlns:a16="http://schemas.microsoft.com/office/drawing/2014/main" id="{53265001-4CE4-4B41-A7CC-6EEEF0CEED20}"/>
            </a:ext>
          </a:extLst>
        </xdr:cNvPr>
        <xdr:cNvSpPr/>
      </xdr:nvSpPr>
      <xdr:spPr>
        <a:xfrm>
          <a:off x="9532620" y="52578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14</xdr:row>
      <xdr:rowOff>76200</xdr:rowOff>
    </xdr:from>
    <xdr:to>
      <xdr:col>7</xdr:col>
      <xdr:colOff>364236</xdr:colOff>
      <xdr:row>25</xdr:row>
      <xdr:rowOff>15240</xdr:rowOff>
    </xdr:to>
    <xdr:sp macro="" textlink="">
      <xdr:nvSpPr>
        <xdr:cNvPr id="7" name="Rectangle: Rounded Corners 6">
          <a:extLst>
            <a:ext uri="{FF2B5EF4-FFF2-40B4-BE49-F238E27FC236}">
              <a16:creationId xmlns:a16="http://schemas.microsoft.com/office/drawing/2014/main" id="{99E3A5C7-2A24-4EC6-8620-19389B8B11A9}"/>
            </a:ext>
          </a:extLst>
        </xdr:cNvPr>
        <xdr:cNvSpPr/>
      </xdr:nvSpPr>
      <xdr:spPr>
        <a:xfrm>
          <a:off x="68580" y="263652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434340</xdr:colOff>
      <xdr:row>3</xdr:row>
      <xdr:rowOff>114300</xdr:rowOff>
    </xdr:from>
    <xdr:to>
      <xdr:col>6</xdr:col>
      <xdr:colOff>0</xdr:colOff>
      <xdr:row>5</xdr:row>
      <xdr:rowOff>38100</xdr:rowOff>
    </xdr:to>
    <xdr:sp macro="" textlink="">
      <xdr:nvSpPr>
        <xdr:cNvPr id="8" name="Rectangle: Rounded Corners 7">
          <a:extLst>
            <a:ext uri="{FF2B5EF4-FFF2-40B4-BE49-F238E27FC236}">
              <a16:creationId xmlns:a16="http://schemas.microsoft.com/office/drawing/2014/main" id="{39652D92-6D58-C3FE-A787-06588D1E3D82}"/>
            </a:ext>
          </a:extLst>
        </xdr:cNvPr>
        <xdr:cNvSpPr/>
      </xdr:nvSpPr>
      <xdr:spPr>
        <a:xfrm>
          <a:off x="1043940" y="66294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CATEGORY PERFORMANCE</a:t>
          </a:r>
        </a:p>
      </xdr:txBody>
    </xdr:sp>
    <xdr:clientData/>
  </xdr:twoCellAnchor>
  <xdr:twoCellAnchor>
    <xdr:from>
      <xdr:col>0</xdr:col>
      <xdr:colOff>167640</xdr:colOff>
      <xdr:row>5</xdr:row>
      <xdr:rowOff>144780</xdr:rowOff>
    </xdr:from>
    <xdr:to>
      <xdr:col>7</xdr:col>
      <xdr:colOff>236220</xdr:colOff>
      <xdr:row>9</xdr:row>
      <xdr:rowOff>152400</xdr:rowOff>
    </xdr:to>
    <xdr:sp macro="" textlink="">
      <xdr:nvSpPr>
        <xdr:cNvPr id="10" name="Rectangle: Rounded Corners 9">
          <a:extLst>
            <a:ext uri="{FF2B5EF4-FFF2-40B4-BE49-F238E27FC236}">
              <a16:creationId xmlns:a16="http://schemas.microsoft.com/office/drawing/2014/main" id="{DDDCA61D-AEDE-64E3-17AC-33CC59B0C7DB}"/>
            </a:ext>
          </a:extLst>
        </xdr:cNvPr>
        <xdr:cNvSpPr/>
      </xdr:nvSpPr>
      <xdr:spPr>
        <a:xfrm>
          <a:off x="167640" y="105918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a:latin typeface="Segoe UI" panose="020B0502040204020203" pitchFamily="34" charset="0"/>
              <a:cs typeface="Segoe UI" panose="020B0502040204020203" pitchFamily="34" charset="0"/>
            </a:rPr>
            <a:t>Technology is the main driver of both sales and profit.</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a:latin typeface="Segoe UI" panose="020B0502040204020203" pitchFamily="34" charset="0"/>
              <a:cs typeface="Segoe UI" panose="020B0502040204020203" pitchFamily="34" charset="0"/>
            </a:rPr>
            <a:t>Furniture underperformance in profitability</a:t>
          </a:r>
          <a:r>
            <a:rPr lang="en-IN" sz="1100" baseline="0">
              <a:latin typeface="Segoe UI" panose="020B0502040204020203" pitchFamily="34" charset="0"/>
              <a:cs typeface="Segoe UI" panose="020B0502040204020203" pitchFamily="34" charset="0"/>
            </a:rPr>
            <a:t> despite strong sales.</a:t>
          </a:r>
          <a:endParaRPr lang="en-IN" sz="1100">
            <a:latin typeface="Segoe UI" panose="020B0502040204020203" pitchFamily="34" charset="0"/>
            <a:cs typeface="Segoe UI" panose="020B0502040204020203" pitchFamily="34" charset="0"/>
          </a:endParaRPr>
        </a:p>
      </xdr:txBody>
    </xdr:sp>
    <xdr:clientData/>
  </xdr:twoCellAnchor>
  <xdr:twoCellAnchor>
    <xdr:from>
      <xdr:col>0</xdr:col>
      <xdr:colOff>175260</xdr:colOff>
      <xdr:row>10</xdr:row>
      <xdr:rowOff>45720</xdr:rowOff>
    </xdr:from>
    <xdr:to>
      <xdr:col>7</xdr:col>
      <xdr:colOff>228600</xdr:colOff>
      <xdr:row>13</xdr:row>
      <xdr:rowOff>22860</xdr:rowOff>
    </xdr:to>
    <xdr:sp macro="" textlink="">
      <xdr:nvSpPr>
        <xdr:cNvPr id="11" name="Rectangle: Rounded Corners 10">
          <a:extLst>
            <a:ext uri="{FF2B5EF4-FFF2-40B4-BE49-F238E27FC236}">
              <a16:creationId xmlns:a16="http://schemas.microsoft.com/office/drawing/2014/main" id="{4810437B-6D05-D361-D99C-9571690E1ECB}"/>
            </a:ext>
          </a:extLst>
        </xdr:cNvPr>
        <xdr:cNvSpPr/>
      </xdr:nvSpPr>
      <xdr:spPr>
        <a:xfrm>
          <a:off x="175260" y="18745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sz="1100">
              <a:solidFill>
                <a:sysClr val="windowText" lastClr="000000"/>
              </a:solidFill>
              <a:latin typeface="Segoe UI" panose="020B0502040204020203" pitchFamily="34" charset="0"/>
              <a:cs typeface="Segoe UI" panose="020B0502040204020203" pitchFamily="34" charset="0"/>
            </a:rPr>
            <a:t>Improve pricing</a:t>
          </a:r>
          <a:r>
            <a:rPr lang="en-IN" sz="1100" baseline="0">
              <a:solidFill>
                <a:sysClr val="windowText" lastClr="000000"/>
              </a:solidFill>
              <a:latin typeface="Segoe UI" panose="020B0502040204020203" pitchFamily="34" charset="0"/>
              <a:cs typeface="Segoe UI" panose="020B0502040204020203" pitchFamily="34" charset="0"/>
            </a:rPr>
            <a:t> strategy and cost efficiency in Furniture.</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8</xdr:col>
      <xdr:colOff>556260</xdr:colOff>
      <xdr:row>3</xdr:row>
      <xdr:rowOff>76200</xdr:rowOff>
    </xdr:from>
    <xdr:to>
      <xdr:col>13</xdr:col>
      <xdr:colOff>121920</xdr:colOff>
      <xdr:row>5</xdr:row>
      <xdr:rowOff>0</xdr:rowOff>
    </xdr:to>
    <xdr:sp macro="" textlink="">
      <xdr:nvSpPr>
        <xdr:cNvPr id="12" name="Rectangle: Rounded Corners 11">
          <a:extLst>
            <a:ext uri="{FF2B5EF4-FFF2-40B4-BE49-F238E27FC236}">
              <a16:creationId xmlns:a16="http://schemas.microsoft.com/office/drawing/2014/main" id="{B3E17213-946F-4AE7-93D8-59AB624C093F}"/>
            </a:ext>
          </a:extLst>
        </xdr:cNvPr>
        <xdr:cNvSpPr/>
      </xdr:nvSpPr>
      <xdr:spPr>
        <a:xfrm>
          <a:off x="5433060" y="62484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REGIONAL PERFORMANCE</a:t>
          </a:r>
        </a:p>
      </xdr:txBody>
    </xdr:sp>
    <xdr:clientData/>
  </xdr:twoCellAnchor>
  <xdr:twoCellAnchor>
    <xdr:from>
      <xdr:col>17</xdr:col>
      <xdr:colOff>434340</xdr:colOff>
      <xdr:row>3</xdr:row>
      <xdr:rowOff>7620</xdr:rowOff>
    </xdr:from>
    <xdr:to>
      <xdr:col>22</xdr:col>
      <xdr:colOff>0</xdr:colOff>
      <xdr:row>4</xdr:row>
      <xdr:rowOff>114300</xdr:rowOff>
    </xdr:to>
    <xdr:sp macro="" textlink="">
      <xdr:nvSpPr>
        <xdr:cNvPr id="13" name="Rectangle: Rounded Corners 12">
          <a:extLst>
            <a:ext uri="{FF2B5EF4-FFF2-40B4-BE49-F238E27FC236}">
              <a16:creationId xmlns:a16="http://schemas.microsoft.com/office/drawing/2014/main" id="{4CDACA97-0A9E-4BD3-9D20-338A9D59538B}"/>
            </a:ext>
          </a:extLst>
        </xdr:cNvPr>
        <xdr:cNvSpPr/>
      </xdr:nvSpPr>
      <xdr:spPr>
        <a:xfrm>
          <a:off x="10797540" y="55626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TREND ANALYSIS</a:t>
          </a:r>
        </a:p>
      </xdr:txBody>
    </xdr:sp>
    <xdr:clientData/>
  </xdr:twoCellAnchor>
  <xdr:twoCellAnchor>
    <xdr:from>
      <xdr:col>1</xdr:col>
      <xdr:colOff>312420</xdr:colOff>
      <xdr:row>14</xdr:row>
      <xdr:rowOff>137160</xdr:rowOff>
    </xdr:from>
    <xdr:to>
      <xdr:col>5</xdr:col>
      <xdr:colOff>487680</xdr:colOff>
      <xdr:row>16</xdr:row>
      <xdr:rowOff>60960</xdr:rowOff>
    </xdr:to>
    <xdr:sp macro="" textlink="">
      <xdr:nvSpPr>
        <xdr:cNvPr id="14" name="Rectangle: Rounded Corners 13">
          <a:extLst>
            <a:ext uri="{FF2B5EF4-FFF2-40B4-BE49-F238E27FC236}">
              <a16:creationId xmlns:a16="http://schemas.microsoft.com/office/drawing/2014/main" id="{552F539E-7539-49BA-B89F-DBE5DBE95E04}"/>
            </a:ext>
          </a:extLst>
        </xdr:cNvPr>
        <xdr:cNvSpPr/>
      </xdr:nvSpPr>
      <xdr:spPr>
        <a:xfrm>
          <a:off x="922020" y="269748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SEGMENT PERFORMANCE</a:t>
          </a:r>
        </a:p>
      </xdr:txBody>
    </xdr:sp>
    <xdr:clientData/>
  </xdr:twoCellAnchor>
  <xdr:twoCellAnchor>
    <xdr:from>
      <xdr:col>9</xdr:col>
      <xdr:colOff>533400</xdr:colOff>
      <xdr:row>15</xdr:row>
      <xdr:rowOff>0</xdr:rowOff>
    </xdr:from>
    <xdr:to>
      <xdr:col>14</xdr:col>
      <xdr:colOff>99060</xdr:colOff>
      <xdr:row>16</xdr:row>
      <xdr:rowOff>106680</xdr:rowOff>
    </xdr:to>
    <xdr:sp macro="" textlink="">
      <xdr:nvSpPr>
        <xdr:cNvPr id="15" name="Rectangle: Rounded Corners 14">
          <a:extLst>
            <a:ext uri="{FF2B5EF4-FFF2-40B4-BE49-F238E27FC236}">
              <a16:creationId xmlns:a16="http://schemas.microsoft.com/office/drawing/2014/main" id="{077AAD53-6861-446B-B758-2E932594F2C7}"/>
            </a:ext>
          </a:extLst>
        </xdr:cNvPr>
        <xdr:cNvSpPr/>
      </xdr:nvSpPr>
      <xdr:spPr>
        <a:xfrm>
          <a:off x="6019800" y="274320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DISCOUNT IMPACT</a:t>
          </a:r>
        </a:p>
      </xdr:txBody>
    </xdr:sp>
    <xdr:clientData/>
  </xdr:twoCellAnchor>
  <xdr:twoCellAnchor>
    <xdr:from>
      <xdr:col>17</xdr:col>
      <xdr:colOff>152400</xdr:colOff>
      <xdr:row>14</xdr:row>
      <xdr:rowOff>106680</xdr:rowOff>
    </xdr:from>
    <xdr:to>
      <xdr:col>22</xdr:col>
      <xdr:colOff>15240</xdr:colOff>
      <xdr:row>16</xdr:row>
      <xdr:rowOff>30480</xdr:rowOff>
    </xdr:to>
    <xdr:sp macro="" textlink="">
      <xdr:nvSpPr>
        <xdr:cNvPr id="16" name="Rectangle: Rounded Corners 15">
          <a:extLst>
            <a:ext uri="{FF2B5EF4-FFF2-40B4-BE49-F238E27FC236}">
              <a16:creationId xmlns:a16="http://schemas.microsoft.com/office/drawing/2014/main" id="{4D6C6B22-BFB2-41C1-B0E4-E1327494C7BD}"/>
            </a:ext>
          </a:extLst>
        </xdr:cNvPr>
        <xdr:cNvSpPr/>
      </xdr:nvSpPr>
      <xdr:spPr>
        <a:xfrm>
          <a:off x="10515600" y="2667000"/>
          <a:ext cx="291084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OVERALL BUSINESS SUMMARY</a:t>
          </a:r>
        </a:p>
      </xdr:txBody>
    </xdr:sp>
    <xdr:clientData/>
  </xdr:twoCellAnchor>
  <xdr:twoCellAnchor>
    <xdr:from>
      <xdr:col>8</xdr:col>
      <xdr:colOff>0</xdr:colOff>
      <xdr:row>5</xdr:row>
      <xdr:rowOff>53340</xdr:rowOff>
    </xdr:from>
    <xdr:to>
      <xdr:col>15</xdr:col>
      <xdr:colOff>68580</xdr:colOff>
      <xdr:row>9</xdr:row>
      <xdr:rowOff>60960</xdr:rowOff>
    </xdr:to>
    <xdr:sp macro="" textlink="">
      <xdr:nvSpPr>
        <xdr:cNvPr id="17" name="Rectangle: Rounded Corners 16">
          <a:extLst>
            <a:ext uri="{FF2B5EF4-FFF2-40B4-BE49-F238E27FC236}">
              <a16:creationId xmlns:a16="http://schemas.microsoft.com/office/drawing/2014/main" id="{C8C70184-B74C-4D4D-8984-EF602BA5F90D}"/>
            </a:ext>
          </a:extLst>
        </xdr:cNvPr>
        <xdr:cNvSpPr/>
      </xdr:nvSpPr>
      <xdr:spPr>
        <a:xfrm>
          <a:off x="4876800" y="96774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baseline="0">
              <a:latin typeface="Segoe UI" panose="020B0502040204020203" pitchFamily="34" charset="0"/>
              <a:cs typeface="Segoe UI" panose="020B0502040204020203" pitchFamily="34" charset="0"/>
            </a:rPr>
            <a:t>Central region generates strong sales but lower profit.</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baseline="0">
              <a:latin typeface="Segoe UI" panose="020B0502040204020203" pitchFamily="34" charset="0"/>
              <a:cs typeface="Segoe UI" panose="020B0502040204020203" pitchFamily="34" charset="0"/>
            </a:rPr>
            <a:t>Indicates inefficiencies in cost and discount management.</a:t>
          </a:r>
          <a:endParaRPr lang="en-IN" sz="1100">
            <a:latin typeface="Segoe UI" panose="020B0502040204020203" pitchFamily="34" charset="0"/>
            <a:cs typeface="Segoe UI" panose="020B0502040204020203" pitchFamily="34" charset="0"/>
          </a:endParaRPr>
        </a:p>
      </xdr:txBody>
    </xdr:sp>
    <xdr:clientData/>
  </xdr:twoCellAnchor>
  <xdr:twoCellAnchor>
    <xdr:from>
      <xdr:col>0</xdr:col>
      <xdr:colOff>144780</xdr:colOff>
      <xdr:row>16</xdr:row>
      <xdr:rowOff>114300</xdr:rowOff>
    </xdr:from>
    <xdr:to>
      <xdr:col>7</xdr:col>
      <xdr:colOff>213360</xdr:colOff>
      <xdr:row>20</xdr:row>
      <xdr:rowOff>121920</xdr:rowOff>
    </xdr:to>
    <xdr:sp macro="" textlink="">
      <xdr:nvSpPr>
        <xdr:cNvPr id="18" name="Rectangle: Rounded Corners 17">
          <a:extLst>
            <a:ext uri="{FF2B5EF4-FFF2-40B4-BE49-F238E27FC236}">
              <a16:creationId xmlns:a16="http://schemas.microsoft.com/office/drawing/2014/main" id="{7B3EB5DD-306F-492C-8322-D192E0BC00F0}"/>
            </a:ext>
          </a:extLst>
        </xdr:cNvPr>
        <xdr:cNvSpPr/>
      </xdr:nvSpPr>
      <xdr:spPr>
        <a:xfrm>
          <a:off x="144780" y="304038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Consumer segment contributes the highest share of revenue.</a:t>
          </a:r>
          <a:br>
            <a:rPr lang="en-IN">
              <a:latin typeface="Segoe UI" panose="020B0502040204020203" pitchFamily="34" charset="0"/>
              <a:cs typeface="Segoe UI" panose="020B0502040204020203" pitchFamily="34" charset="0"/>
            </a:rPr>
          </a:br>
          <a:r>
            <a:rPr lang="en-IN">
              <a:latin typeface="Segoe UI" panose="020B0502040204020203" pitchFamily="34" charset="0"/>
              <a:cs typeface="Segoe UI" panose="020B0502040204020203" pitchFamily="34" charset="0"/>
            </a:rPr>
            <a:t>• Profitability varies across different customer segments</a:t>
          </a:r>
          <a:r>
            <a:rPr lang="en-IN" sz="1100" baseline="0">
              <a:latin typeface="Segoe UI" panose="020B0502040204020203" pitchFamily="34" charset="0"/>
              <a:cs typeface="Segoe UI" panose="020B0502040204020203" pitchFamily="34" charset="0"/>
            </a:rPr>
            <a:t>.</a:t>
          </a:r>
          <a:endParaRPr lang="en-IN" sz="1100">
            <a:latin typeface="Segoe UI" panose="020B0502040204020203" pitchFamily="34" charset="0"/>
            <a:cs typeface="Segoe UI" panose="020B0502040204020203" pitchFamily="34" charset="0"/>
          </a:endParaRPr>
        </a:p>
      </xdr:txBody>
    </xdr:sp>
    <xdr:clientData/>
  </xdr:twoCellAnchor>
  <xdr:twoCellAnchor>
    <xdr:from>
      <xdr:col>8</xdr:col>
      <xdr:colOff>45720</xdr:colOff>
      <xdr:row>16</xdr:row>
      <xdr:rowOff>167640</xdr:rowOff>
    </xdr:from>
    <xdr:to>
      <xdr:col>15</xdr:col>
      <xdr:colOff>114300</xdr:colOff>
      <xdr:row>20</xdr:row>
      <xdr:rowOff>175260</xdr:rowOff>
    </xdr:to>
    <xdr:sp macro="" textlink="">
      <xdr:nvSpPr>
        <xdr:cNvPr id="19" name="Rectangle: Rounded Corners 18">
          <a:extLst>
            <a:ext uri="{FF2B5EF4-FFF2-40B4-BE49-F238E27FC236}">
              <a16:creationId xmlns:a16="http://schemas.microsoft.com/office/drawing/2014/main" id="{D9C5BFE8-BCF6-4ECF-8EC5-128F56057F03}"/>
            </a:ext>
          </a:extLst>
        </xdr:cNvPr>
        <xdr:cNvSpPr/>
      </xdr:nvSpPr>
      <xdr:spPr>
        <a:xfrm>
          <a:off x="4922520" y="309372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Higher discount levels drive sales but lead to significant losses.</a:t>
          </a:r>
          <a:br>
            <a:rPr lang="en-IN">
              <a:latin typeface="Segoe UI" panose="020B0502040204020203" pitchFamily="34" charset="0"/>
              <a:cs typeface="Segoe UI" panose="020B0502040204020203" pitchFamily="34" charset="0"/>
            </a:rPr>
          </a:br>
          <a:r>
            <a:rPr lang="en-IN">
              <a:latin typeface="Segoe UI" panose="020B0502040204020203" pitchFamily="34" charset="0"/>
              <a:cs typeface="Segoe UI" panose="020B0502040204020203" pitchFamily="34" charset="0"/>
            </a:rPr>
            <a:t>• Lower discount levels maintain strong profitability.</a:t>
          </a:r>
          <a:endParaRPr lang="en-IN" sz="1100">
            <a:latin typeface="Segoe UI" panose="020B0502040204020203" pitchFamily="34" charset="0"/>
            <a:cs typeface="Segoe UI" panose="020B0502040204020203" pitchFamily="34" charset="0"/>
          </a:endParaRPr>
        </a:p>
      </xdr:txBody>
    </xdr:sp>
    <xdr:clientData/>
  </xdr:twoCellAnchor>
  <xdr:twoCellAnchor>
    <xdr:from>
      <xdr:col>15</xdr:col>
      <xdr:colOff>502920</xdr:colOff>
      <xdr:row>5</xdr:row>
      <xdr:rowOff>22860</xdr:rowOff>
    </xdr:from>
    <xdr:to>
      <xdr:col>22</xdr:col>
      <xdr:colOff>571500</xdr:colOff>
      <xdr:row>9</xdr:row>
      <xdr:rowOff>30480</xdr:rowOff>
    </xdr:to>
    <xdr:sp macro="" textlink="">
      <xdr:nvSpPr>
        <xdr:cNvPr id="20" name="Rectangle: Rounded Corners 19">
          <a:extLst>
            <a:ext uri="{FF2B5EF4-FFF2-40B4-BE49-F238E27FC236}">
              <a16:creationId xmlns:a16="http://schemas.microsoft.com/office/drawing/2014/main" id="{3D7BA905-795A-44BF-AF17-12100E1AEE31}"/>
            </a:ext>
          </a:extLst>
        </xdr:cNvPr>
        <xdr:cNvSpPr/>
      </xdr:nvSpPr>
      <xdr:spPr>
        <a:xfrm>
          <a:off x="9646920" y="93726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Sales show an overall increasing trend over time.</a:t>
          </a:r>
          <a:br>
            <a:rPr lang="en-IN">
              <a:latin typeface="Segoe UI" panose="020B0502040204020203" pitchFamily="34" charset="0"/>
              <a:cs typeface="Segoe UI" panose="020B0502040204020203" pitchFamily="34" charset="0"/>
            </a:rPr>
          </a:br>
          <a:r>
            <a:rPr lang="en-IN">
              <a:latin typeface="Segoe UI" panose="020B0502040204020203" pitchFamily="34" charset="0"/>
              <a:cs typeface="Segoe UI" panose="020B0502040204020203" pitchFamily="34" charset="0"/>
            </a:rPr>
            <a:t>• Profit remains volatile, indicating inconsistent margins</a:t>
          </a:r>
          <a:r>
            <a:rPr lang="en-IN" sz="1100" baseline="0">
              <a:latin typeface="Segoe UI" panose="020B0502040204020203" pitchFamily="34" charset="0"/>
              <a:cs typeface="Segoe UI" panose="020B0502040204020203" pitchFamily="34" charset="0"/>
            </a:rPr>
            <a:t>.</a:t>
          </a:r>
          <a:endParaRPr lang="en-IN" sz="1100">
            <a:latin typeface="Segoe UI" panose="020B0502040204020203" pitchFamily="34" charset="0"/>
            <a:cs typeface="Segoe UI" panose="020B0502040204020203" pitchFamily="34" charset="0"/>
          </a:endParaRPr>
        </a:p>
      </xdr:txBody>
    </xdr:sp>
    <xdr:clientData/>
  </xdr:twoCellAnchor>
  <xdr:twoCellAnchor>
    <xdr:from>
      <xdr:col>15</xdr:col>
      <xdr:colOff>548640</xdr:colOff>
      <xdr:row>16</xdr:row>
      <xdr:rowOff>30480</xdr:rowOff>
    </xdr:from>
    <xdr:to>
      <xdr:col>23</xdr:col>
      <xdr:colOff>7620</xdr:colOff>
      <xdr:row>21</xdr:row>
      <xdr:rowOff>45720</xdr:rowOff>
    </xdr:to>
    <xdr:sp macro="" textlink="">
      <xdr:nvSpPr>
        <xdr:cNvPr id="21" name="Rectangle: Rounded Corners 20">
          <a:extLst>
            <a:ext uri="{FF2B5EF4-FFF2-40B4-BE49-F238E27FC236}">
              <a16:creationId xmlns:a16="http://schemas.microsoft.com/office/drawing/2014/main" id="{FD1D11CA-50FD-4BE5-AB2B-892A51464568}"/>
            </a:ext>
          </a:extLst>
        </xdr:cNvPr>
        <xdr:cNvSpPr/>
      </xdr:nvSpPr>
      <xdr:spPr>
        <a:xfrm>
          <a:off x="9692640" y="2956560"/>
          <a:ext cx="4335780" cy="9296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50" b="1">
              <a:solidFill>
                <a:schemeClr val="tx1"/>
              </a:solidFill>
              <a:latin typeface="Segoe UI" panose="020B0502040204020203" pitchFamily="34" charset="0"/>
              <a:cs typeface="Segoe UI" panose="020B0502040204020203" pitchFamily="34" charset="0"/>
            </a:rPr>
            <a:t>Insights:</a:t>
          </a:r>
        </a:p>
        <a:p>
          <a:pPr algn="l"/>
          <a:r>
            <a:rPr lang="en-IN" sz="1050">
              <a:solidFill>
                <a:schemeClr val="tx1"/>
              </a:solidFill>
              <a:latin typeface="Segoe UI" panose="020B0502040204020203" pitchFamily="34" charset="0"/>
              <a:cs typeface="Segoe UI" panose="020B0502040204020203" pitchFamily="34" charset="0"/>
            </a:rPr>
            <a:t>• Performance is driven by sales volume rather than profitability</a:t>
          </a:r>
          <a:br>
            <a:rPr lang="en-IN" sz="1050">
              <a:solidFill>
                <a:schemeClr val="tx1"/>
              </a:solidFill>
              <a:latin typeface="Segoe UI" panose="020B0502040204020203" pitchFamily="34" charset="0"/>
              <a:cs typeface="Segoe UI" panose="020B0502040204020203" pitchFamily="34" charset="0"/>
            </a:rPr>
          </a:br>
          <a:r>
            <a:rPr lang="en-IN" sz="1050">
              <a:solidFill>
                <a:schemeClr val="tx1"/>
              </a:solidFill>
              <a:latin typeface="Segoe UI" panose="020B0502040204020203" pitchFamily="34" charset="0"/>
              <a:cs typeface="Segoe UI" panose="020B0502040204020203" pitchFamily="34" charset="0"/>
            </a:rPr>
            <a:t>• Margins are impacted by high discounts and underperforming regions</a:t>
          </a:r>
          <a:r>
            <a:rPr lang="en-IN" sz="1050" baseline="0">
              <a:solidFill>
                <a:schemeClr val="tx1"/>
              </a:solidFill>
              <a:latin typeface="Segoe UI" panose="020B0502040204020203" pitchFamily="34" charset="0"/>
              <a:cs typeface="Segoe UI" panose="020B0502040204020203" pitchFamily="34" charset="0"/>
            </a:rPr>
            <a:t>.</a:t>
          </a:r>
          <a:endParaRPr lang="en-IN" sz="105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15</xdr:col>
      <xdr:colOff>510540</xdr:colOff>
      <xdr:row>9</xdr:row>
      <xdr:rowOff>152400</xdr:rowOff>
    </xdr:from>
    <xdr:to>
      <xdr:col>22</xdr:col>
      <xdr:colOff>563880</xdr:colOff>
      <xdr:row>12</xdr:row>
      <xdr:rowOff>129540</xdr:rowOff>
    </xdr:to>
    <xdr:sp macro="" textlink="">
      <xdr:nvSpPr>
        <xdr:cNvPr id="22" name="Rectangle: Rounded Corners 21">
          <a:extLst>
            <a:ext uri="{FF2B5EF4-FFF2-40B4-BE49-F238E27FC236}">
              <a16:creationId xmlns:a16="http://schemas.microsoft.com/office/drawing/2014/main" id="{A59309BF-05DF-485F-8D07-A9723FA46FC0}"/>
            </a:ext>
          </a:extLst>
        </xdr:cNvPr>
        <xdr:cNvSpPr/>
      </xdr:nvSpPr>
      <xdr:spPr>
        <a:xfrm>
          <a:off x="9654540" y="17983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Strengthen cost control during high-sales periods</a:t>
          </a:r>
          <a:r>
            <a:rPr lang="en-IN" sz="1100" baseline="0">
              <a:solidFill>
                <a:sysClr val="windowText" lastClr="000000"/>
              </a:solidFill>
              <a:latin typeface="Segoe UI" panose="020B0502040204020203" pitchFamily="34" charset="0"/>
              <a:cs typeface="Segoe UI" panose="020B0502040204020203" pitchFamily="34" charset="0"/>
            </a:rPr>
            <a:t>.</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7</xdr:col>
      <xdr:colOff>594360</xdr:colOff>
      <xdr:row>10</xdr:row>
      <xdr:rowOff>7620</xdr:rowOff>
    </xdr:from>
    <xdr:to>
      <xdr:col>15</xdr:col>
      <xdr:colOff>38100</xdr:colOff>
      <xdr:row>12</xdr:row>
      <xdr:rowOff>167640</xdr:rowOff>
    </xdr:to>
    <xdr:sp macro="" textlink="">
      <xdr:nvSpPr>
        <xdr:cNvPr id="23" name="Rectangle: Rounded Corners 22">
          <a:extLst>
            <a:ext uri="{FF2B5EF4-FFF2-40B4-BE49-F238E27FC236}">
              <a16:creationId xmlns:a16="http://schemas.microsoft.com/office/drawing/2014/main" id="{141AE0BE-A08F-4A3F-BADF-EA7B5F992E66}"/>
            </a:ext>
          </a:extLst>
        </xdr:cNvPr>
        <xdr:cNvSpPr/>
      </xdr:nvSpPr>
      <xdr:spPr>
        <a:xfrm>
          <a:off x="4861560" y="18364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sz="1100" baseline="0">
              <a:solidFill>
                <a:sysClr val="windowText" lastClr="000000"/>
              </a:solidFill>
              <a:latin typeface="Segoe UI" panose="020B0502040204020203" pitchFamily="34" charset="0"/>
              <a:cs typeface="Segoe UI" panose="020B0502040204020203" pitchFamily="34" charset="0"/>
            </a:rPr>
            <a:t>Reassess discount and operational cost in central region.</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0</xdr:col>
      <xdr:colOff>129540</xdr:colOff>
      <xdr:row>21</xdr:row>
      <xdr:rowOff>0</xdr:rowOff>
    </xdr:from>
    <xdr:to>
      <xdr:col>7</xdr:col>
      <xdr:colOff>182880</xdr:colOff>
      <xdr:row>23</xdr:row>
      <xdr:rowOff>160020</xdr:rowOff>
    </xdr:to>
    <xdr:sp macro="" textlink="">
      <xdr:nvSpPr>
        <xdr:cNvPr id="24" name="Rectangle: Rounded Corners 23">
          <a:extLst>
            <a:ext uri="{FF2B5EF4-FFF2-40B4-BE49-F238E27FC236}">
              <a16:creationId xmlns:a16="http://schemas.microsoft.com/office/drawing/2014/main" id="{72F0D375-19A1-4EC8-B653-6D7F740D83F5}"/>
            </a:ext>
          </a:extLst>
        </xdr:cNvPr>
        <xdr:cNvSpPr/>
      </xdr:nvSpPr>
      <xdr:spPr>
        <a:xfrm>
          <a:off x="129540" y="38404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Focus on high-margin segments for better returns</a:t>
          </a:r>
          <a:r>
            <a:rPr lang="en-IN" sz="1100" baseline="0">
              <a:solidFill>
                <a:schemeClr val="tx1"/>
              </a:solidFill>
              <a:latin typeface="Segoe UI" panose="020B0502040204020203" pitchFamily="34" charset="0"/>
              <a:cs typeface="Segoe UI" panose="020B0502040204020203" pitchFamily="34" charset="0"/>
            </a:rPr>
            <a:t>.</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8</xdr:col>
      <xdr:colOff>45720</xdr:colOff>
      <xdr:row>21</xdr:row>
      <xdr:rowOff>114300</xdr:rowOff>
    </xdr:from>
    <xdr:to>
      <xdr:col>15</xdr:col>
      <xdr:colOff>99060</xdr:colOff>
      <xdr:row>24</xdr:row>
      <xdr:rowOff>91440</xdr:rowOff>
    </xdr:to>
    <xdr:sp macro="" textlink="">
      <xdr:nvSpPr>
        <xdr:cNvPr id="25" name="Rectangle: Rounded Corners 24">
          <a:extLst>
            <a:ext uri="{FF2B5EF4-FFF2-40B4-BE49-F238E27FC236}">
              <a16:creationId xmlns:a16="http://schemas.microsoft.com/office/drawing/2014/main" id="{555A9527-51DE-4EF6-82C5-6222B7B957B4}"/>
            </a:ext>
          </a:extLst>
        </xdr:cNvPr>
        <xdr:cNvSpPr/>
      </xdr:nvSpPr>
      <xdr:spPr>
        <a:xfrm>
          <a:off x="4922520" y="39547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Optimize discount strategy to balance growth and profit</a:t>
          </a:r>
          <a:r>
            <a:rPr lang="en-IN" sz="1100" baseline="0">
              <a:solidFill>
                <a:schemeClr val="tx1"/>
              </a:solidFill>
              <a:latin typeface="Segoe UI" panose="020B0502040204020203" pitchFamily="34" charset="0"/>
              <a:cs typeface="Segoe UI" panose="020B0502040204020203" pitchFamily="34" charset="0"/>
            </a:rPr>
            <a:t>.</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15</xdr:col>
      <xdr:colOff>556260</xdr:colOff>
      <xdr:row>21</xdr:row>
      <xdr:rowOff>76200</xdr:rowOff>
    </xdr:from>
    <xdr:to>
      <xdr:col>23</xdr:col>
      <xdr:colOff>0</xdr:colOff>
      <xdr:row>24</xdr:row>
      <xdr:rowOff>53340</xdr:rowOff>
    </xdr:to>
    <xdr:sp macro="" textlink="">
      <xdr:nvSpPr>
        <xdr:cNvPr id="26" name="Rectangle: Rounded Corners 25">
          <a:extLst>
            <a:ext uri="{FF2B5EF4-FFF2-40B4-BE49-F238E27FC236}">
              <a16:creationId xmlns:a16="http://schemas.microsoft.com/office/drawing/2014/main" id="{E76CBF0D-8505-468B-A07C-FD328B38D7C7}"/>
            </a:ext>
          </a:extLst>
        </xdr:cNvPr>
        <xdr:cNvSpPr/>
      </xdr:nvSpPr>
      <xdr:spPr>
        <a:xfrm>
          <a:off x="9700260" y="39166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Focus on margin improvement and controlled discounting</a:t>
          </a:r>
          <a:r>
            <a:rPr lang="en-IN" sz="1100" baseline="0">
              <a:solidFill>
                <a:schemeClr val="tx1"/>
              </a:solidFill>
              <a:latin typeface="Segoe UI" panose="020B0502040204020203" pitchFamily="34" charset="0"/>
              <a:cs typeface="Segoe UI" panose="020B0502040204020203" pitchFamily="34" charset="0"/>
            </a:rPr>
            <a:t>.</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7</xdr:col>
      <xdr:colOff>266700</xdr:colOff>
      <xdr:row>0</xdr:row>
      <xdr:rowOff>91440</xdr:rowOff>
    </xdr:from>
    <xdr:to>
      <xdr:col>15</xdr:col>
      <xdr:colOff>563880</xdr:colOff>
      <xdr:row>2</xdr:row>
      <xdr:rowOff>114300</xdr:rowOff>
    </xdr:to>
    <xdr:sp macro="" textlink="">
      <xdr:nvSpPr>
        <xdr:cNvPr id="27" name="Rectangle: Rounded Corners 26">
          <a:extLst>
            <a:ext uri="{FF2B5EF4-FFF2-40B4-BE49-F238E27FC236}">
              <a16:creationId xmlns:a16="http://schemas.microsoft.com/office/drawing/2014/main" id="{EE4D3AA4-E0A2-ABD4-8AA8-AEFEBBBA9778}"/>
            </a:ext>
          </a:extLst>
        </xdr:cNvPr>
        <xdr:cNvSpPr/>
      </xdr:nvSpPr>
      <xdr:spPr>
        <a:xfrm>
          <a:off x="4533900" y="91440"/>
          <a:ext cx="5173980" cy="388620"/>
        </a:xfrm>
        <a:prstGeom prst="roundRect">
          <a:avLst/>
        </a:prstGeom>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solidFill>
                <a:schemeClr val="tx1">
                  <a:lumMod val="95000"/>
                  <a:lumOff val="5000"/>
                </a:schemeClr>
              </a:solidFill>
              <a:latin typeface="Segoe UI" panose="020B0502040204020203" pitchFamily="34" charset="0"/>
              <a:cs typeface="Segoe UI" panose="020B0502040204020203" pitchFamily="34" charset="0"/>
            </a:rPr>
            <a:t>KEY INSIGHTS AND RECOMMENDATIONS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245534</xdr:colOff>
      <xdr:row>21</xdr:row>
      <xdr:rowOff>155788</xdr:rowOff>
    </xdr:from>
    <xdr:to>
      <xdr:col>18</xdr:col>
      <xdr:colOff>46568</xdr:colOff>
      <xdr:row>28</xdr:row>
      <xdr:rowOff>67733</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6155B5E-E73E-C361-D103-CEE30F3489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76474" y="4110568"/>
              <a:ext cx="1264074" cy="1192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368299</xdr:colOff>
      <xdr:row>22</xdr:row>
      <xdr:rowOff>2540</xdr:rowOff>
    </xdr:from>
    <xdr:to>
      <xdr:col>16</xdr:col>
      <xdr:colOff>220979</xdr:colOff>
      <xdr:row>28</xdr:row>
      <xdr:rowOff>104987</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5DE51DB5-1ABC-E95A-AFC4-F3AABF4812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58119" y="4140200"/>
              <a:ext cx="1193800" cy="1199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480908</xdr:colOff>
      <xdr:row>21</xdr:row>
      <xdr:rowOff>178648</xdr:rowOff>
    </xdr:from>
    <xdr:to>
      <xdr:col>14</xdr:col>
      <xdr:colOff>342900</xdr:colOff>
      <xdr:row>30</xdr:row>
      <xdr:rowOff>47414</xdr:rowOff>
    </xdr:to>
    <mc:AlternateContent xmlns:mc="http://schemas.openxmlformats.org/markup-compatibility/2006" xmlns:a14="http://schemas.microsoft.com/office/drawing/2010/main">
      <mc:Choice Requires="a14">
        <xdr:graphicFrame macro="">
          <xdr:nvGraphicFramePr>
            <xdr:cNvPr id="4" name="order_year">
              <a:extLst>
                <a:ext uri="{FF2B5EF4-FFF2-40B4-BE49-F238E27FC236}">
                  <a16:creationId xmlns:a16="http://schemas.microsoft.com/office/drawing/2014/main" id="{D538C137-FC6C-F649-97B6-8347AFD2A9D6}"/>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9624908" y="4191848"/>
              <a:ext cx="1457960" cy="1545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44026</xdr:colOff>
      <xdr:row>21</xdr:row>
      <xdr:rowOff>184576</xdr:rowOff>
    </xdr:from>
    <xdr:to>
      <xdr:col>12</xdr:col>
      <xdr:colOff>466514</xdr:colOff>
      <xdr:row>29</xdr:row>
      <xdr:rowOff>169335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8758B9B-67FE-4B72-AC5A-D351460EC8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3693" y="4197776"/>
              <a:ext cx="1192954" cy="1474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66550926" backgroundQuery="1" createdVersion="8" refreshedVersion="8" minRefreshableVersion="3" recordCount="0" supportSubquery="1" supportAdvancedDrill="1" xr:uid="{1D077FE0-51C8-4FBD-BF09-2AE356BA977E}">
  <cacheSource type="external" connectionId="4"/>
  <cacheFields count="5">
    <cacheField name="[Measures].[Sum of sales]" caption="Sum of sales" numFmtId="0" hierarchy="21" level="32767"/>
    <cacheField name="[Measures].[Sum of profit]" caption="Sum of profit" numFmtId="0" hierarchy="22" level="32767"/>
    <cacheField name="[Measures].[Sum of profit_margin]" caption="Sum of profit_margin" numFmtId="0" hierarchy="23" level="32767"/>
    <cacheField name="[Superstore_data].[segment].[segment]" caption="segment" numFmtId="0" hierarchy="4" level="1">
      <sharedItems count="3">
        <s v="Consumer"/>
        <s v="Corporate"/>
        <s v="Home Office"/>
      </sharedItems>
    </cacheField>
    <cacheField name="[Superstore_data].[region].[region]" caption="region" numFmtId="0" hierarchy="7" level="1">
      <sharedItems containsSemiMixedTypes="0" containsNonDate="0" containsString="0"/>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3"/>
      </fieldsUsage>
    </cacheHierarchy>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4"/>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67361111" backgroundQuery="1" createdVersion="8" refreshedVersion="8" minRefreshableVersion="3" recordCount="0" supportSubquery="1" supportAdvancedDrill="1" xr:uid="{87FA9812-C780-4F17-BB3C-B263C295FDB1}">
  <cacheSource type="external" connectionId="4"/>
  <cacheFields count="5">
    <cacheField name="[Superstore_data].[category].[category]" caption="category" numFmtId="0" hierarchy="9" level="1">
      <sharedItems count="3">
        <s v="Furniture"/>
        <s v="Office Supplies"/>
        <s v="Technology"/>
      </sharedItems>
    </cacheField>
    <cacheField name="[Measures].[Sum of sales]" caption="Sum of sales" numFmtId="0" hierarchy="21" level="32767"/>
    <cacheField name="[Measures].[Sum of profit]" caption="Sum of profit" numFmtId="0" hierarchy="22" level="32767"/>
    <cacheField name="[Measures].[Sum of profit_margin]" caption="Sum of profit_margin" numFmtId="0" hierarchy="23" level="32767"/>
    <cacheField name="[Superstore_data].[region].[region]" caption="region" numFmtId="0" hierarchy="7" level="1">
      <sharedItems containsSemiMixedTypes="0" containsNonDate="0" containsString="0"/>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4"/>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68055558" backgroundQuery="1" createdVersion="8" refreshedVersion="8" minRefreshableVersion="3" recordCount="0" supportSubquery="1" supportAdvancedDrill="1" xr:uid="{2A73A39F-7163-4076-BB94-75A3DC1D3FFF}">
  <cacheSource type="external" connectionId="4"/>
  <cacheFields count="3">
    <cacheField name="[Measures].[Sum of sales]" caption="Sum of sales" numFmtId="0" hierarchy="21" level="32767"/>
    <cacheField name="[Measures].[Sum of profit]" caption="Sum of profit" numFmtId="0" hierarchy="22" level="32767"/>
    <cacheField name="[Superstore_data].[region].[region]" caption="region" numFmtId="0" hierarchy="7" level="1">
      <sharedItems count="4">
        <s v="Central"/>
        <s v="East"/>
        <s v="South"/>
        <s v="West"/>
      </sharedItems>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2"/>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68865743" backgroundQuery="1" createdVersion="8" refreshedVersion="8" minRefreshableVersion="3" recordCount="0" supportSubquery="1" supportAdvancedDrill="1" xr:uid="{B569180B-B1A6-4B2F-8041-8B750335EBC2}">
  <cacheSource type="external" connectionId="4"/>
  <cacheFields count="5">
    <cacheField name="[Measures].[Sum of sales]" caption="Sum of sales" numFmtId="0" hierarchy="21" level="32767"/>
    <cacheField name="[Measures].[Sum of profit]" caption="Sum of profit" numFmtId="0" hierarchy="22" level="32767"/>
    <cacheField name="[Superstore_data].[order_year].[order_year]" caption="order_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uperstore_data].[order_year].&amp;[2014]"/>
            <x15:cachedUniqueName index="1" name="[Superstore_data].[order_year].&amp;[2015]"/>
            <x15:cachedUniqueName index="2" name="[Superstore_data].[order_year].&amp;[2016]"/>
            <x15:cachedUniqueName index="3" name="[Superstore_data].[order_year].&amp;[2017]"/>
          </x15:cachedUniqueNames>
        </ext>
      </extLst>
    </cacheField>
    <cacheField name="[Superstore_data].[order_month].[order_month]" caption="order_month" numFmtId="0" hierarchy="3" level="1">
      <sharedItems count="12">
        <s v="April"/>
        <s v="August"/>
        <s v="December"/>
        <s v="February"/>
        <s v="January"/>
        <s v="July"/>
        <s v="June"/>
        <s v="March"/>
        <s v="May"/>
        <s v="November"/>
        <s v="October"/>
        <s v="September"/>
      </sharedItems>
    </cacheField>
    <cacheField name="[Superstore_data].[region].[region]" caption="region" numFmtId="0" hierarchy="7" level="1">
      <sharedItems containsSemiMixedTypes="0" containsNonDate="0" containsString="0"/>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fieldsUsage count="2">
        <fieldUsage x="-1"/>
        <fieldUsage x="2"/>
      </fieldsUsage>
    </cacheHierarchy>
    <cacheHierarchy uniqueName="[Superstore_data].[order_month]" caption="order_month" attribute="1" defaultMemberUniqueName="[Superstore_data].[order_month].[All]" allUniqueName="[Superstore_data].[order_month].[All]" dimensionUniqueName="[Superstore_data]" displayFolder="" count="2" memberValueDatatype="130" unbalanced="0">
      <fieldsUsage count="2">
        <fieldUsage x="-1"/>
        <fieldUsage x="3"/>
      </fieldsUsage>
    </cacheHierarchy>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4"/>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69560182" backgroundQuery="1" createdVersion="8" refreshedVersion="8" minRefreshableVersion="3" recordCount="0" supportSubquery="1" supportAdvancedDrill="1" xr:uid="{FFA1C770-09F0-4219-828B-85C7F382E5AB}">
  <cacheSource type="external" connectionId="4"/>
  <cacheFields count="4">
    <cacheField name="[Measures].[Sum of sales]" caption="Sum of sales" numFmtId="0" hierarchy="21" level="32767"/>
    <cacheField name="[Measures].[Sum of profit]" caption="Sum of profit" numFmtId="0" hierarchy="22" level="32767"/>
    <cacheField name="[Superstore_data].[sub_category].[sub_category]" caption="sub_category" numFmtId="0" hierarchy="10" level="1">
      <sharedItems count="17">
        <s v="Accessories"/>
        <s v="Appliances"/>
        <s v="Art"/>
        <s v="Binders"/>
        <s v="Bookcases"/>
        <s v="Chairs"/>
        <s v="Copiers"/>
        <s v="Envelopes"/>
        <s v="Fasteners"/>
        <s v="Furnishings"/>
        <s v="Labels"/>
        <s v="Machines"/>
        <s v="Paper"/>
        <s v="Phones"/>
        <s v="Storage"/>
        <s v="Supplies"/>
        <s v="Tables"/>
      </sharedItems>
    </cacheField>
    <cacheField name="[Superstore_data].[region].[region]" caption="region" numFmtId="0" hierarchy="7" level="1">
      <sharedItems containsSemiMixedTypes="0" containsNonDate="0" containsString="0"/>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3"/>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2" memberValueDatatype="130" unbalanced="0">
      <fieldsUsage count="2">
        <fieldUsage x="-1"/>
        <fieldUsage x="2"/>
      </fieldsUsage>
    </cacheHierarchy>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937970254628" backgroundQuery="1" createdVersion="8" refreshedVersion="8" minRefreshableVersion="3" recordCount="0" supportSubquery="1" supportAdvancedDrill="1" xr:uid="{5EE7B2D0-002D-4CA9-B1A0-1F80277D21B0}">
  <cacheSource type="external" connectionId="4"/>
  <cacheFields count="5">
    <cacheField name="[Measures].[Sum of sales]" caption="Sum of sales" numFmtId="0" hierarchy="21" level="32767"/>
    <cacheField name="[Measures].[Sum of profit]" caption="Sum of profit" numFmtId="0" hierarchy="22" level="32767"/>
    <cacheField name="[Superstore_data].[loss_flag].[loss_flag]" caption="loss_flag" numFmtId="0" hierarchy="17" level="1">
      <sharedItems count="2">
        <s v="Loss"/>
        <s v="Profit"/>
      </sharedItems>
    </cacheField>
    <cacheField name="[Superstore_data].[discount_category].[discount_category]" caption="discount_category" numFmtId="0" hierarchy="18" level="1">
      <sharedItems count="3">
        <s v="High"/>
        <s v="Low"/>
        <s v="Medium"/>
      </sharedItems>
    </cacheField>
    <cacheField name="[Superstore_data].[region].[region]" caption="region" numFmtId="0" hierarchy="7" level="1">
      <sharedItems containsSemiMixedTypes="0" containsNonDate="0" containsString="0"/>
    </cacheField>
  </cacheFields>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4"/>
      </fieldsUsage>
    </cacheHierarchy>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2" memberValueDatatype="130" unbalanced="0">
      <fieldsUsage count="2">
        <fieldUsage x="-1"/>
        <fieldUsage x="2"/>
      </fieldsUsage>
    </cacheHierarchy>
    <cacheHierarchy uniqueName="[Superstore_data].[discount_category]" caption="discount_category" attribute="1" defaultMemberUniqueName="[Superstore_data].[discount_category].[All]" allUniqueName="[Superstore_data].[discount_category].[All]" dimensionUniqueName="[Superstore_data]" displayFolder="" count="2" memberValueDatatype="130" unbalanced="0">
      <fieldsUsage count="2">
        <fieldUsage x="-1"/>
        <fieldUsage x="3"/>
      </fieldsUsage>
    </cacheHierarchy>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2.899314467591" backgroundQuery="1" createdVersion="3" refreshedVersion="8" minRefreshableVersion="3" recordCount="0" supportSubquery="1" supportAdvancedDrill="1" xr:uid="{21A910F6-DF22-445A-86B4-F27891FF2CF4}">
  <cacheSource type="external" connectionId="4">
    <extLst>
      <ext xmlns:x14="http://schemas.microsoft.com/office/spreadsheetml/2009/9/main" uri="{F057638F-6D5F-4e77-A914-E7F072B9BCA8}">
        <x14:sourceConnection name="ThisWorkbookDataModel"/>
      </ext>
    </extLst>
  </cacheSource>
  <cacheFields count="0"/>
  <cacheHierarchies count="24">
    <cacheHierarchy uniqueName="[Superstore_data].[row_id]" caption="row_id" attribute="1" defaultMemberUniqueName="[Superstore_data].[row_id].[All]" allUniqueName="[Superstore_data].[row_id].[All]" dimensionUniqueName="[Superstore_data]" displayFolder="" count="0" memberValueDatatype="20" unbalanced="0"/>
    <cacheHierarchy uniqueName="[Superstore_data].[order_id]" caption="order_id" attribute="1" defaultMemberUniqueName="[Superstore_data].[order_id].[All]" allUniqueName="[Superstore_data].[order_id].[All]" dimensionUniqueName="[Superstore_data]" displayFolder="" count="0" memberValueDatatype="130" unbalanced="0"/>
    <cacheHierarchy uniqueName="[Superstore_data].[order_year]" caption="order_year" attribute="1" defaultMemberUniqueName="[Superstore_data].[order_year].[All]" allUniqueName="[Superstore_data].[order_year].[All]" dimensionUniqueName="[Superstore_data]" displayFolder="" count="2" memberValueDatatype="20" unbalanced="0"/>
    <cacheHierarchy uniqueName="[Superstore_data].[order_month]" caption="order_month" attribute="1" defaultMemberUniqueName="[Superstore_data].[order_month].[All]" allUniqueName="[Superstore_data].[order_month].[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_id]" caption="product_id" attribute="1" defaultMemberUniqueName="[Superstore_data].[product_id].[All]" allUniqueName="[Superstore_data].[product_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_category]" caption="sub_category" attribute="1" defaultMemberUniqueName="[Superstore_data].[sub_category].[All]" allUniqueName="[Superstore_data].[sub_category].[All]" dimensionUniqueName="[Superstore_data]" displayFolder="" count="0" memberValueDatatype="130" unbalanced="0"/>
    <cacheHierarchy uniqueName="[Superstore_data].[ship_mode]" caption="ship_mode" attribute="1" defaultMemberUniqueName="[Superstore_data].[ship_mode].[All]" allUniqueName="[Superstore_data].[ship_mod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profit_margin]" caption="profit_margin" attribute="1" defaultMemberUniqueName="[Superstore_data].[profit_margin].[All]" allUniqueName="[Superstore_data].[profit_margin].[All]" dimensionUniqueName="[Superstore_data]" displayFolder="" count="0" memberValueDatatype="5" unbalanced="0"/>
    <cacheHierarchy uniqueName="[Superstore_data].[loss_flag]" caption="loss_flag" attribute="1" defaultMemberUniqueName="[Superstore_data].[loss_flag].[All]" allUniqueName="[Superstore_data].[loss_flag].[All]" dimensionUniqueName="[Superstore_data]" displayFolder="" count="0" memberValueDatatype="130" unbalanced="0"/>
    <cacheHierarchy uniqueName="[Superstore_data].[discount_category]" caption="discount_category" attribute="1" defaultMemberUniqueName="[Superstore_data].[discount_category].[All]" allUniqueName="[Superstore_data].[discount_category].[All]" dimensionUniqueName="[Superstore_data]" displayFolder="" count="0" memberValueDatatype="13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Sum of sales]" caption="Sum of sales" measure="1" displayFolder="" measureGroup="Superstore_data"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uperstore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3692187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CF5E6-E7A9-4D87-9C3D-5187A99E69B3}"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ub-Categories">
  <location ref="G14:I3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Profit" fld="1" baseField="0" baseItem="0"/>
    <dataField name="Sales" fld="0" baseField="0" baseItem="0"/>
  </dataFields>
  <formats count="1">
    <format dxfId="0">
      <pivotArea outline="0" collapsedLevelsAreSubtotals="1" fieldPosition="0"/>
    </format>
  </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5A045-85EC-4913-9675-74B33BB4FEC1}"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Order date">
  <location ref="A14:C6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ales" fld="0" baseField="0" baseItem="0"/>
    <dataField name="Profit" fld="1" baseField="0" baseItem="0"/>
  </dataFields>
  <formats count="1">
    <format dxfId="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9CCD5-7C1D-4572-BC1A-29BFE15088B5}"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Region">
  <location ref="G3:I8" firstHeaderRow="0" firstDataRow="1" firstDataCol="1"/>
  <pivotFields count="3">
    <pivotField dataField="1" subtotalTop="0" showAll="0" defaultSubtotal="0"/>
    <pivotField dataField="1" subtotalTop="0" showAll="0" defaultSubtotal="0"/>
    <pivotField axis="axisRow" allDrilled="1" subtotalTop="0" showAll="0" defaultSubtotal="0" defaultAttributeDrillState="1">
      <items count="4">
        <item n="East" x="1"/>
        <item x="2"/>
        <item x="0"/>
        <item x="3"/>
      </items>
    </pivotField>
  </pivotFields>
  <rowFields count="1">
    <field x="2"/>
  </rowFields>
  <rowItems count="5">
    <i>
      <x/>
    </i>
    <i>
      <x v="1"/>
    </i>
    <i>
      <x v="2"/>
    </i>
    <i>
      <x v="3"/>
    </i>
    <i t="grand">
      <x/>
    </i>
  </rowItems>
  <colFields count="1">
    <field x="-2"/>
  </colFields>
  <colItems count="2">
    <i>
      <x/>
    </i>
    <i i="1">
      <x v="1"/>
    </i>
  </colItems>
  <dataFields count="2">
    <dataField name="Sales" fld="0" baseField="0" baseItem="0"/>
    <dataField name="Profit" fld="1" baseField="0" baseItem="0"/>
  </dataFields>
  <formats count="1">
    <format dxfId="2">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64DFAF-2E3B-49DA-B065-FC70BA4FC643}"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Categories">
  <location ref="A3:D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ales" fld="1" baseField="0" baseItem="0"/>
    <dataField name="Profit" fld="2" baseField="0" baseItem="0"/>
    <dataField name="profit_margin" fld="3" baseField="0" baseItem="0"/>
  </dataFields>
  <formats count="2">
    <format dxfId="4">
      <pivotArea collapsedLevelsAreSubtotals="1" fieldPosition="0">
        <references count="1">
          <reference field="0" count="0"/>
        </references>
      </pivotArea>
    </format>
    <format dxfId="3">
      <pivotArea grandRow="1"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315396-78A4-48A7-B87F-ABB449EE0F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L3:O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2"/>
  </colFields>
  <colItems count="3">
    <i>
      <x/>
    </i>
    <i i="1">
      <x v="1"/>
    </i>
    <i i="2">
      <x v="2"/>
    </i>
  </colItems>
  <dataFields count="3">
    <dataField name="Sales" fld="0" baseField="0" baseItem="0"/>
    <dataField name="Profit" fld="1" baseField="0" baseItem="0"/>
    <dataField name="Profit Margin" fld="2" baseField="0" baseItem="0"/>
  </dataFields>
  <formats count="1">
    <format dxfId="5">
      <pivotArea outline="0" collapsedLevelsAreSubtotals="1" fieldPosition="0"/>
    </format>
  </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B042EE-E0D4-4B3F-8197-69AC3FACD71C}"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Discount" colHeaderCaption="">
  <location ref="L14:R20" firstHeaderRow="1" firstDataRow="3" firstDataCol="1"/>
  <pivotFields count="5">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2">
    <field x="-2"/>
    <field x="2"/>
  </colFields>
  <colItems count="6">
    <i>
      <x/>
      <x/>
    </i>
    <i r="1">
      <x v="1"/>
    </i>
    <i i="1">
      <x v="1"/>
      <x/>
    </i>
    <i r="1" i="1">
      <x v="1"/>
    </i>
    <i t="grand">
      <x/>
    </i>
    <i t="grand" i="1">
      <x v="1"/>
    </i>
  </colItems>
  <dataFields count="2">
    <dataField name="Sales" fld="0" baseField="0" baseItem="0"/>
    <dataField name="Profit" fld="1" baseField="0" baseItem="0"/>
  </dataFields>
  <formats count="1">
    <format dxfId="6">
      <pivotArea outline="0" collapsedLevelsAreSubtotals="1" fieldPosition="0"/>
    </format>
  </formats>
  <chartFormats count="8">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2">
          <reference field="4294967294" count="1" selected="0">
            <x v="1"/>
          </reference>
          <reference field="2" count="1" selected="0">
            <x v="0"/>
          </reference>
        </references>
      </pivotArea>
    </chartFormat>
    <chartFormat chart="12" format="7" series="1">
      <pivotArea type="data" outline="0" fieldPosition="0">
        <references count="2">
          <reference field="4294967294" count="1" selected="0">
            <x v="1"/>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0"/>
          </reference>
        </references>
      </pivotArea>
    </chartFormat>
    <chartFormat chart="13" format="9" series="1">
      <pivotArea type="data" outline="0" fieldPosition="0">
        <references count="2">
          <reference field="4294967294" count="1" selected="0">
            <x v="0"/>
          </reference>
          <reference field="2" count="1" selected="0">
            <x v="1"/>
          </reference>
        </references>
      </pivotArea>
    </chartFormat>
    <chartFormat chart="13" format="10" series="1">
      <pivotArea type="data" outline="0" fieldPosition="0">
        <references count="2">
          <reference field="4294967294" count="1" selected="0">
            <x v="1"/>
          </reference>
          <reference field="2" count="1" selected="0">
            <x v="0"/>
          </reference>
        </references>
      </pivotArea>
    </chartFormat>
    <chartFormat chart="13" format="11" series="1">
      <pivotArea type="data" outline="0" fieldPosition="0">
        <references count="2">
          <reference field="4294967294" count="1" selected="0">
            <x v="1"/>
          </reference>
          <reference field="2" count="1" selected="0">
            <x v="1"/>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caption="Profit Margin"/>
  </pivotHierarchies>
  <pivotTableStyleInfo name="PivotStyleLight8" showRowHeaders="1" showColHeaders="1" showRowStripes="0" showColStripes="0" showLastColumn="1"/>
  <rowHierarchiesUsage count="1">
    <rowHierarchyUsage hierarchyUsage="18"/>
  </rowHierarchiesUsage>
  <colHierarchiesUsage count="2">
    <colHierarchyUsage hierarchyUsage="-2"/>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C4DB4CD-E7D4-4E62-A47C-28D06EDA0A71}" autoFormatId="16" applyNumberFormats="0" applyBorderFormats="0" applyFontFormats="0" applyPatternFormats="0" applyAlignmentFormats="0" applyWidthHeightFormats="0">
  <queryTableRefresh nextId="20">
    <queryTableFields count="19">
      <queryTableField id="1" name="Row_ID" tableColumnId="1"/>
      <queryTableField id="2" name="Order_ID" tableColumnId="2"/>
      <queryTableField id="3" name="Order_Year" tableColumnId="3"/>
      <queryTableField id="4" name="Order_Month" tableColumnId="4"/>
      <queryTableField id="5" name="Segment" tableColumnId="5"/>
      <queryTableField id="6" name="City" tableColumnId="6"/>
      <queryTableField id="7" name="State" tableColumnId="7"/>
      <queryTableField id="8" name="Region" tableColumnId="8"/>
      <queryTableField id="9" name="Product_ID" tableColumnId="9"/>
      <queryTableField id="10" name="Category" tableColumnId="10"/>
      <queryTableField id="11" name="Sub-Category" tableColumnId="11"/>
      <queryTableField id="12" name="Ship_Mode" tableColumnId="12"/>
      <queryTableField id="13" name="Sales" tableColumnId="13"/>
      <queryTableField id="14" name="Quantity" tableColumnId="14"/>
      <queryTableField id="15" name="Discount" tableColumnId="15"/>
      <queryTableField id="16" name="Profit" tableColumnId="16"/>
      <queryTableField id="17" name="Profit_Margin" tableColumnId="17"/>
      <queryTableField id="18" name="Loss_Flag" tableColumnId="18"/>
      <queryTableField id="19" name="Discount_Category"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67DDD0-FFFF-4719-B954-F0B27AC99FE4}" sourceName="[Superstore_data].[category]">
  <pivotTables>
    <pivotTable tabId="5" name="PivotTable8"/>
    <pivotTable tabId="5" name="PivotTable1"/>
    <pivotTable tabId="5" name="PivotTable3"/>
    <pivotTable tabId="5" name="PivotTable4"/>
    <pivotTable tabId="5" name="PivotTable5"/>
    <pivotTable tabId="5" name="PivotTable7"/>
  </pivotTables>
  <data>
    <olap pivotCacheId="369218714">
      <levels count="2">
        <level uniqueName="[Superstore_data].[category].[(All)]" sourceCaption="(All)" count="0"/>
        <level uniqueName="[Superstore_data].[category].[category]" sourceCaption="category" count="3" sortOrder="ascending">
          <ranges>
            <range startItem="0">
              <i n="[Superstore_data].[category].&amp;[Furniture]" c="Furniture"/>
              <i n="[Superstore_data].[category].&amp;[Office Supplies]" c="Office Supplies"/>
              <i n="[Superstore_data].[category].&amp;[Technology]" c="Technology"/>
            </range>
          </ranges>
        </level>
      </levels>
      <selections count="1">
        <selection n="[Superstore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ACB4754-4649-4963-91DF-60C4F69F6A19}" sourceName="[Superstore_data].[segment]">
  <pivotTables>
    <pivotTable tabId="5" name="PivotTable8"/>
    <pivotTable tabId="5" name="PivotTable1"/>
    <pivotTable tabId="5" name="PivotTable3"/>
    <pivotTable tabId="5" name="PivotTable4"/>
    <pivotTable tabId="5" name="PivotTable5"/>
    <pivotTable tabId="5" name="PivotTable7"/>
  </pivotTables>
  <data>
    <olap pivotCacheId="369218714">
      <levels count="2">
        <level uniqueName="[Superstore_data].[segment].[(All)]" sourceCaption="(All)" count="0"/>
        <level uniqueName="[Superstore_data].[segment].[segment]" sourceCaption="segment" count="3">
          <ranges>
            <range startItem="0">
              <i n="[Superstore_data].[segment].&amp;[Consumer]" c="Consumer"/>
              <i n="[Superstore_data].[segment].&amp;[Corporate]" c="Corporate"/>
              <i n="[Superstore_data].[segment].&amp;[Home Office]" c="Home Office"/>
            </range>
          </ranges>
        </level>
      </levels>
      <selections count="1">
        <selection n="[Superstore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F1CCE86-C7AA-49A8-A13C-C68F80A4CB4B}" sourceName="[Superstore_data].[order_year]">
  <pivotTables>
    <pivotTable tabId="5" name="PivotTable8"/>
    <pivotTable tabId="5" name="PivotTable1"/>
    <pivotTable tabId="5" name="PivotTable3"/>
    <pivotTable tabId="5" name="PivotTable4"/>
    <pivotTable tabId="5" name="PivotTable5"/>
    <pivotTable tabId="5" name="PivotTable7"/>
  </pivotTables>
  <data>
    <olap pivotCacheId="369218714">
      <levels count="2">
        <level uniqueName="[Superstore_data].[order_year].[(All)]" sourceCaption="(All)" count="0"/>
        <level uniqueName="[Superstore_data].[order_year].[order_year]" sourceCaption="order_year" count="4">
          <ranges>
            <range startItem="0">
              <i n="[Superstore_data].[order_year].&amp;[2014]" c="2014"/>
              <i n="[Superstore_data].[order_year].&amp;[2015]" c="2015"/>
              <i n="[Superstore_data].[order_year].&amp;[2016]" c="2016"/>
              <i n="[Superstore_data].[order_year].&amp;[2017]" c="2017"/>
            </range>
          </ranges>
        </level>
      </levels>
      <selections count="1">
        <selection n="[Superstore_data].[order_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2CE812-A2C6-425D-A881-08FF0167AEA0}" sourceName="[Superstore_data].[region]">
  <pivotTables>
    <pivotTable tabId="5" name="PivotTable8"/>
    <pivotTable tabId="5" name="PivotTable1"/>
    <pivotTable tabId="5" name="PivotTable3"/>
    <pivotTable tabId="5" name="PivotTable4"/>
    <pivotTable tabId="5" name="PivotTable5"/>
    <pivotTable tabId="5" name="PivotTable7"/>
  </pivotTables>
  <data>
    <olap pivotCacheId="369218714">
      <levels count="2">
        <level uniqueName="[Superstore_data].[region].[(All)]" sourceCaption="(All)" count="0"/>
        <level uniqueName="[Superstore_data].[region].[region]" sourceCaption="region" count="4">
          <ranges>
            <range startItem="0">
              <i n="[Superstore_data].[region].&amp;[Central]" c="Central"/>
              <i n="[Superstore_data].[region].&amp;[East]" c="East"/>
              <i n="[Superstore_data].[region].&amp;[South]" c="South"/>
              <i n="[Superstore_data].[region].&amp;[West]" c="West"/>
            </range>
          </ranges>
        </level>
      </levels>
      <selections count="1">
        <selection n="[Superstore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BCD584A-18EA-4F0D-BE71-AB578100B8A5}" cache="Slicer_category" caption="category" level="1" style="SlicerStyleLight3" rowHeight="234950"/>
  <slicer name="segment 1" xr10:uid="{8444ADE1-92E7-4938-8E71-01D62E1C7530}" cache="Slicer_segment" caption="segment" level="1" style="SlicerStyleLight3" rowHeight="234950"/>
  <slicer name="order_year 1" xr10:uid="{9C108C23-2419-41C5-A5FA-DA52BCCD17F3}" cache="Slicer_order_year" caption="order_year" level="1" style="SlicerStyleLight3" rowHeight="234950"/>
  <slicer name="region 1" xr10:uid="{A0401723-662C-481C-9A9A-3D5625C3531E}" cache="Slicer_region" caption="region" level="1"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7837E8-09A7-4645-A341-2F7F73ED503C}" cache="Slicer_category" caption="category" level="1" style="SlicerStyleLight3" rowHeight="234950"/>
  <slicer name="segment" xr10:uid="{5F23F8D6-FF79-4BF4-B7A5-49F5DCBFF870}" cache="Slicer_segment" caption="segment" level="1" style="SlicerStyleLight3" rowHeight="234950"/>
  <slicer name="order_year" xr10:uid="{0029D2E5-FFD4-4C14-95EE-D3595CC06A79}" cache="Slicer_order_year" caption="order_year" level="1" style="SlicerStyleLight3" rowHeight="234950"/>
  <slicer name="region" xr10:uid="{6EB2CEF9-D626-4D54-ADDC-CE0C81F11BFC}" cache="Slicer_region" caption="region"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05E944-1E4D-482D-BF96-343E3146C308}" name="Superstore_data" displayName="Superstore_data" ref="A1:S1238" tableType="queryTable" totalsRowShown="0">
  <autoFilter ref="A1:S1238" xr:uid="{EC05E944-1E4D-482D-BF96-343E3146C308}"/>
  <tableColumns count="19">
    <tableColumn id="1" xr3:uid="{683C2A1E-DC30-42A2-BEE7-7AF00A8ED046}" uniqueName="1" name="row_id" queryTableFieldId="1"/>
    <tableColumn id="2" xr3:uid="{4A0E77E9-402E-4B3F-843E-35C2F63ABC1D}" uniqueName="2" name="order_id" queryTableFieldId="2" dataDxfId="17"/>
    <tableColumn id="3" xr3:uid="{1A95E22B-9182-4F58-A358-DFAD8CBF3DCB}" uniqueName="3" name="order_year" queryTableFieldId="3"/>
    <tableColumn id="4" xr3:uid="{B12A2EDF-C520-4874-ACBD-E21DD1B9E4E0}" uniqueName="4" name="order_month" queryTableFieldId="4" dataDxfId="16"/>
    <tableColumn id="5" xr3:uid="{4484E489-98E9-410A-ACB6-8328B05C445F}" uniqueName="5" name="segment" queryTableFieldId="5" dataDxfId="15"/>
    <tableColumn id="6" xr3:uid="{2FD9001A-FD17-4BF0-A7A6-4619A1024832}" uniqueName="6" name="city" queryTableFieldId="6" dataDxfId="14"/>
    <tableColumn id="7" xr3:uid="{8AFBD3EF-8D63-4A6D-AB80-FB7C3579C174}" uniqueName="7" name="state" queryTableFieldId="7" dataDxfId="13"/>
    <tableColumn id="8" xr3:uid="{9AC423F2-F5B1-4C1B-9991-2EA1F5EB7BDE}" uniqueName="8" name="region" queryTableFieldId="8" dataDxfId="12"/>
    <tableColumn id="9" xr3:uid="{1F8E33C3-12A8-40AA-948D-0E49C6E5F8BB}" uniqueName="9" name="product_id" queryTableFieldId="9" dataDxfId="11"/>
    <tableColumn id="10" xr3:uid="{FCD93839-359C-440B-8862-58A77F60889F}" uniqueName="10" name="category" queryTableFieldId="10" dataDxfId="10"/>
    <tableColumn id="11" xr3:uid="{3D960E54-8A37-4681-9A08-F8DFB88978AA}" uniqueName="11" name="sub_category" queryTableFieldId="11" dataDxfId="9"/>
    <tableColumn id="12" xr3:uid="{095E57B8-EE80-4655-84F6-CF719036F572}" uniqueName="12" name="ship_mode" queryTableFieldId="12" dataDxfId="8"/>
    <tableColumn id="13" xr3:uid="{B4A34D2C-BF89-461D-A03E-40DFE5BE55EA}" uniqueName="13" name="sales" queryTableFieldId="13"/>
    <tableColumn id="14" xr3:uid="{F6A61CE1-738D-4A20-965B-9E5A4D85015A}" uniqueName="14" name="quantity" queryTableFieldId="14"/>
    <tableColumn id="15" xr3:uid="{E72E8728-38C6-4962-838C-03DFE5BBFB4F}" uniqueName="15" name="discount" queryTableFieldId="15"/>
    <tableColumn id="16" xr3:uid="{F6AEBC2A-1035-4677-A105-62CB9719BEA4}" uniqueName="16" name="profit" queryTableFieldId="16"/>
    <tableColumn id="17" xr3:uid="{2FFC7277-67F6-468E-9AE2-3A150120BE36}" uniqueName="17" name="profit_margin" queryTableFieldId="17" dataDxfId="7"/>
    <tableColumn id="18" xr3:uid="{0400FF80-CE25-404C-99DE-C2F97B5C0415}" uniqueName="18" name="loss_flag" queryTableFieldId="18"/>
    <tableColumn id="19" xr3:uid="{2B441454-2396-43FF-8749-ABB06BDADFDB}" uniqueName="19" name="discount_category"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1:Q8"/>
  <sheetViews>
    <sheetView showGridLines="0" workbookViewId="0">
      <selection activeCell="R3" sqref="R3"/>
    </sheetView>
  </sheetViews>
  <sheetFormatPr defaultRowHeight="14.4" x14ac:dyDescent="0.3"/>
  <cols>
    <col min="7" max="7" width="0" hidden="1" customWidth="1"/>
  </cols>
  <sheetData>
    <row r="1" spans="7:17" x14ac:dyDescent="0.3">
      <c r="H1" s="7" t="s">
        <v>2559</v>
      </c>
      <c r="I1" s="8"/>
      <c r="J1" s="8"/>
      <c r="K1" s="8"/>
      <c r="L1" s="8"/>
      <c r="M1" s="8"/>
      <c r="N1" s="8"/>
      <c r="O1" s="8"/>
      <c r="P1" s="8"/>
      <c r="Q1" s="8"/>
    </row>
    <row r="2" spans="7:17" x14ac:dyDescent="0.3">
      <c r="H2" s="8"/>
      <c r="I2" s="8"/>
      <c r="J2" s="8"/>
      <c r="K2" s="8"/>
      <c r="L2" s="8"/>
      <c r="M2" s="8"/>
      <c r="N2" s="8"/>
      <c r="O2" s="8"/>
      <c r="P2" s="8"/>
      <c r="Q2" s="8"/>
    </row>
    <row r="3" spans="7:17" x14ac:dyDescent="0.3">
      <c r="G3">
        <f xml:space="preserve"> SUM(Superstore_data[sales])</f>
        <v>273172.82109999977</v>
      </c>
      <c r="H3" s="8"/>
      <c r="I3" s="8"/>
      <c r="J3" s="8"/>
      <c r="K3" s="8"/>
      <c r="L3" s="8"/>
      <c r="M3" s="8"/>
      <c r="N3" s="8"/>
      <c r="O3" s="8"/>
      <c r="P3" s="8"/>
      <c r="Q3" s="8"/>
    </row>
    <row r="4" spans="7:17" x14ac:dyDescent="0.3">
      <c r="G4">
        <f>SUM(Superstore_data[profit])</f>
        <v>23208.238000000038</v>
      </c>
    </row>
    <row r="5" spans="7:17" x14ac:dyDescent="0.3">
      <c r="G5">
        <f>COUNTA(Superstore_data[order_id])</f>
        <v>1237</v>
      </c>
    </row>
    <row r="6" spans="7:17" x14ac:dyDescent="0.3">
      <c r="G6" s="1">
        <f>AVERAGE(Superstore_data[profit_margin])</f>
        <v>0.11273551325432052</v>
      </c>
    </row>
    <row r="7" spans="7:17" x14ac:dyDescent="0.3">
      <c r="G7">
        <f>SUM(Superstore_data[quantity])</f>
        <v>4606</v>
      </c>
    </row>
    <row r="8" spans="7:17" x14ac:dyDescent="0.3">
      <c r="G8" cm="1">
        <f t="array" ref="G8">SUM(Superstore_data[sales]/COUNTA(Superstore_data[order_id]))</f>
        <v>220.83494025869069</v>
      </c>
    </row>
  </sheetData>
  <mergeCells count="1">
    <mergeCell ref="H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0D526-8DB0-4983-9D68-9FD4E14E2CCC}">
  <dimension ref="A1"/>
  <sheetViews>
    <sheetView showGridLines="0" workbookViewId="0">
      <selection activeCell="P15" sqref="P15"/>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A185-2E27-431E-B973-8CCEA6A7EE4E}">
  <dimension ref="A1:R67"/>
  <sheetViews>
    <sheetView showGridLines="0" zoomScaleNormal="100" workbookViewId="0">
      <selection activeCell="R10" sqref="R10"/>
    </sheetView>
  </sheetViews>
  <sheetFormatPr defaultRowHeight="14.4" x14ac:dyDescent="0.3"/>
  <cols>
    <col min="1" max="1" width="14.33203125" bestFit="1" customWidth="1"/>
    <col min="2" max="2" width="10.5546875" bestFit="1" customWidth="1"/>
    <col min="3" max="3" width="9.44140625" bestFit="1" customWidth="1"/>
    <col min="4" max="4" width="13" bestFit="1" customWidth="1"/>
    <col min="5" max="5" width="5.33203125" customWidth="1"/>
    <col min="6" max="6" width="7.109375" customWidth="1"/>
    <col min="7" max="7" width="16.6640625" bestFit="1" customWidth="1"/>
    <col min="8" max="8" width="12.21875" customWidth="1"/>
    <col min="9" max="9" width="10.5546875" bestFit="1" customWidth="1"/>
    <col min="10" max="10" width="5.21875" customWidth="1"/>
    <col min="11" max="11" width="7.5546875" customWidth="1"/>
    <col min="12" max="12" width="11.21875" bestFit="1" customWidth="1"/>
    <col min="13" max="13" width="11.88671875" customWidth="1"/>
    <col min="14" max="14" width="10.5546875" bestFit="1" customWidth="1"/>
    <col min="15" max="15" width="10.109375" bestFit="1" customWidth="1"/>
    <col min="16" max="16" width="9.44140625" bestFit="1" customWidth="1"/>
    <col min="17" max="17" width="10.5546875" bestFit="1" customWidth="1"/>
    <col min="18" max="18" width="10.77734375" bestFit="1" customWidth="1"/>
  </cols>
  <sheetData>
    <row r="1" spans="1:18" x14ac:dyDescent="0.3">
      <c r="A1" s="9" t="s">
        <v>2552</v>
      </c>
      <c r="B1" s="10"/>
      <c r="C1" s="10"/>
      <c r="D1" s="10"/>
      <c r="G1" s="11" t="s">
        <v>2555</v>
      </c>
      <c r="H1" s="11"/>
      <c r="I1" s="11"/>
      <c r="L1" s="11" t="s">
        <v>2557</v>
      </c>
      <c r="M1" s="11"/>
      <c r="N1" s="11"/>
      <c r="O1" s="11"/>
    </row>
    <row r="2" spans="1:18" ht="21" customHeight="1" x14ac:dyDescent="0.3">
      <c r="A2" s="10"/>
      <c r="B2" s="10"/>
      <c r="C2" s="10"/>
      <c r="D2" s="10"/>
      <c r="G2" s="11"/>
      <c r="H2" s="11"/>
      <c r="I2" s="11"/>
      <c r="L2" s="11"/>
      <c r="M2" s="11"/>
      <c r="N2" s="11"/>
      <c r="O2" s="11"/>
    </row>
    <row r="3" spans="1:18" x14ac:dyDescent="0.3">
      <c r="A3" s="2" t="s">
        <v>2546</v>
      </c>
      <c r="B3" t="s">
        <v>2</v>
      </c>
      <c r="C3" t="s">
        <v>4</v>
      </c>
      <c r="D3" t="s">
        <v>2541</v>
      </c>
      <c r="G3" s="2" t="s">
        <v>1</v>
      </c>
      <c r="H3" t="s">
        <v>2</v>
      </c>
      <c r="I3" t="s">
        <v>4</v>
      </c>
      <c r="L3" s="2" t="s">
        <v>0</v>
      </c>
      <c r="M3" t="s">
        <v>2</v>
      </c>
      <c r="N3" t="s">
        <v>4</v>
      </c>
      <c r="O3" t="s">
        <v>2547</v>
      </c>
    </row>
    <row r="4" spans="1:18" x14ac:dyDescent="0.3">
      <c r="A4" s="3" t="s">
        <v>10</v>
      </c>
      <c r="B4" s="4">
        <v>103866.2911</v>
      </c>
      <c r="C4" s="4">
        <v>-1507.7699</v>
      </c>
      <c r="D4" s="4">
        <v>12.06438545115015</v>
      </c>
      <c r="G4" s="3" t="s">
        <v>48</v>
      </c>
      <c r="H4" s="4">
        <v>64320.845000000001</v>
      </c>
      <c r="I4" s="4">
        <v>6092.3351000000002</v>
      </c>
      <c r="L4" s="3" t="s">
        <v>6</v>
      </c>
      <c r="M4" s="4">
        <v>126787.65850000001</v>
      </c>
      <c r="N4" s="4">
        <v>5842.9530000000004</v>
      </c>
      <c r="O4" s="4">
        <v>53.031881207028306</v>
      </c>
    </row>
    <row r="5" spans="1:18" x14ac:dyDescent="0.3">
      <c r="A5" s="3" t="s">
        <v>17</v>
      </c>
      <c r="B5" s="4">
        <v>70286.789999999994</v>
      </c>
      <c r="C5" s="4">
        <v>10885.5677</v>
      </c>
      <c r="D5" s="4">
        <v>92.817222222222171</v>
      </c>
      <c r="G5" s="3" t="s">
        <v>9</v>
      </c>
      <c r="H5" s="4">
        <v>58130.633999999998</v>
      </c>
      <c r="I5" s="4">
        <v>1508.7004999999999</v>
      </c>
      <c r="L5" s="3" t="s">
        <v>13</v>
      </c>
      <c r="M5" s="4">
        <v>93926.3226</v>
      </c>
      <c r="N5" s="4">
        <v>8885.4197999999997</v>
      </c>
      <c r="O5" s="4">
        <v>51.975641923436015</v>
      </c>
    </row>
    <row r="6" spans="1:18" x14ac:dyDescent="0.3">
      <c r="A6" s="3" t="s">
        <v>26</v>
      </c>
      <c r="B6" s="4">
        <v>99019.74</v>
      </c>
      <c r="C6" s="4">
        <v>13830.440199999999</v>
      </c>
      <c r="D6" s="4">
        <v>34.572222222222223</v>
      </c>
      <c r="G6" s="3" t="s">
        <v>38</v>
      </c>
      <c r="H6" s="4">
        <v>74452.935599999997</v>
      </c>
      <c r="I6" s="4">
        <v>3928.7644</v>
      </c>
      <c r="L6" s="3" t="s">
        <v>35</v>
      </c>
      <c r="M6" s="4">
        <v>52458.84</v>
      </c>
      <c r="N6" s="4">
        <v>8479.8652000000002</v>
      </c>
      <c r="O6" s="4">
        <v>34.446306765130302</v>
      </c>
    </row>
    <row r="7" spans="1:18" x14ac:dyDescent="0.3">
      <c r="A7" s="3" t="s">
        <v>2545</v>
      </c>
      <c r="B7" s="4">
        <v>273172.8211</v>
      </c>
      <c r="C7" s="4">
        <v>23208.238000000001</v>
      </c>
      <c r="D7" s="4">
        <v>139.45382989559448</v>
      </c>
      <c r="G7" s="3" t="s">
        <v>16</v>
      </c>
      <c r="H7" s="4">
        <v>76268.406499999997</v>
      </c>
      <c r="I7" s="4">
        <v>11678.438</v>
      </c>
      <c r="L7" s="3" t="s">
        <v>2545</v>
      </c>
      <c r="M7" s="4">
        <v>273172.8211</v>
      </c>
      <c r="N7" s="4">
        <v>23208.238000000001</v>
      </c>
      <c r="O7" s="4">
        <v>139.45382989559448</v>
      </c>
    </row>
    <row r="8" spans="1:18" x14ac:dyDescent="0.3">
      <c r="G8" s="3" t="s">
        <v>2545</v>
      </c>
      <c r="H8" s="4">
        <v>273172.8211</v>
      </c>
      <c r="I8" s="4">
        <v>23208.238000000001</v>
      </c>
    </row>
    <row r="12" spans="1:18" ht="15.6" customHeight="1" x14ac:dyDescent="0.3">
      <c r="A12" s="11" t="s">
        <v>2553</v>
      </c>
      <c r="B12" s="11"/>
      <c r="C12" s="11"/>
      <c r="G12" s="11" t="s">
        <v>2554</v>
      </c>
      <c r="H12" s="11"/>
      <c r="I12" s="11"/>
      <c r="L12" s="11" t="s">
        <v>2556</v>
      </c>
      <c r="M12" s="11"/>
      <c r="N12" s="11"/>
      <c r="O12" s="11"/>
      <c r="P12" s="11"/>
      <c r="Q12" s="11"/>
      <c r="R12" s="11"/>
    </row>
    <row r="13" spans="1:18" ht="15.6" customHeight="1" x14ac:dyDescent="0.3">
      <c r="A13" s="11"/>
      <c r="B13" s="11"/>
      <c r="C13" s="11"/>
      <c r="F13" s="6"/>
      <c r="G13" s="11"/>
      <c r="H13" s="11"/>
      <c r="I13" s="11"/>
      <c r="K13" s="6"/>
      <c r="L13" s="11"/>
      <c r="M13" s="11"/>
      <c r="N13" s="11"/>
      <c r="O13" s="11"/>
      <c r="P13" s="11"/>
      <c r="Q13" s="11"/>
      <c r="R13" s="11"/>
    </row>
    <row r="14" spans="1:18" x14ac:dyDescent="0.3">
      <c r="A14" s="2" t="s">
        <v>2548</v>
      </c>
      <c r="B14" t="s">
        <v>2</v>
      </c>
      <c r="C14" t="s">
        <v>4</v>
      </c>
      <c r="G14" s="2" t="s">
        <v>2549</v>
      </c>
      <c r="H14" t="s">
        <v>4</v>
      </c>
      <c r="I14" t="s">
        <v>2</v>
      </c>
      <c r="M14" s="2" t="s">
        <v>2558</v>
      </c>
    </row>
    <row r="15" spans="1:18" x14ac:dyDescent="0.3">
      <c r="A15" s="3">
        <v>2014</v>
      </c>
      <c r="B15" s="4"/>
      <c r="C15" s="4"/>
      <c r="G15" s="3" t="s">
        <v>50</v>
      </c>
      <c r="H15" s="4">
        <v>4618.4611000000004</v>
      </c>
      <c r="I15" s="4">
        <v>16163.3</v>
      </c>
      <c r="M15" t="s">
        <v>2</v>
      </c>
      <c r="O15" t="s">
        <v>4</v>
      </c>
      <c r="Q15" t="s">
        <v>2550</v>
      </c>
      <c r="R15" t="s">
        <v>2551</v>
      </c>
    </row>
    <row r="16" spans="1:18" x14ac:dyDescent="0.3">
      <c r="A16" s="5" t="s">
        <v>406</v>
      </c>
      <c r="B16" s="4">
        <v>3134.9340000000002</v>
      </c>
      <c r="C16" s="4">
        <v>380.8569</v>
      </c>
      <c r="G16" s="3" t="s">
        <v>29</v>
      </c>
      <c r="H16" s="4">
        <v>-92.429400000000001</v>
      </c>
      <c r="I16" s="4">
        <v>12059.402</v>
      </c>
      <c r="L16" s="2" t="s">
        <v>3</v>
      </c>
      <c r="M16" t="s">
        <v>401</v>
      </c>
      <c r="N16" t="s">
        <v>4</v>
      </c>
      <c r="O16" t="s">
        <v>401</v>
      </c>
      <c r="P16" t="s">
        <v>4</v>
      </c>
    </row>
    <row r="17" spans="1:18" x14ac:dyDescent="0.3">
      <c r="A17" s="5" t="s">
        <v>420</v>
      </c>
      <c r="B17" s="4">
        <v>3722.67</v>
      </c>
      <c r="C17" s="4">
        <v>203.58779999999999</v>
      </c>
      <c r="G17" s="3" t="s">
        <v>25</v>
      </c>
      <c r="H17" s="4">
        <v>943.3125</v>
      </c>
      <c r="I17" s="4">
        <v>4669.0860000000002</v>
      </c>
      <c r="L17" s="3" t="s">
        <v>402</v>
      </c>
      <c r="M17" s="4">
        <v>52483.3796</v>
      </c>
      <c r="N17" s="4">
        <v>1919.91</v>
      </c>
      <c r="O17" s="4">
        <v>-22189.16</v>
      </c>
      <c r="P17" s="4">
        <v>255.988</v>
      </c>
      <c r="Q17" s="4">
        <v>54403.289599999996</v>
      </c>
      <c r="R17" s="4">
        <v>-21933.171999999999</v>
      </c>
    </row>
    <row r="18" spans="1:18" x14ac:dyDescent="0.3">
      <c r="A18" s="5" t="s">
        <v>410</v>
      </c>
      <c r="B18" s="4">
        <v>9829.4069999999992</v>
      </c>
      <c r="C18" s="4">
        <v>1648.8586</v>
      </c>
      <c r="G18" s="3" t="s">
        <v>28</v>
      </c>
      <c r="H18" s="4">
        <v>2593.9656</v>
      </c>
      <c r="I18" s="4">
        <v>17669.59</v>
      </c>
      <c r="L18" s="3" t="s">
        <v>394</v>
      </c>
      <c r="M18" s="4"/>
      <c r="N18" s="4">
        <v>116318.93399999999</v>
      </c>
      <c r="O18" s="4"/>
      <c r="P18" s="4">
        <v>31531.7958</v>
      </c>
      <c r="Q18" s="4">
        <v>116318.93399999999</v>
      </c>
      <c r="R18" s="4">
        <v>31531.7958</v>
      </c>
    </row>
    <row r="19" spans="1:18" x14ac:dyDescent="0.3">
      <c r="A19" s="5" t="s">
        <v>529</v>
      </c>
      <c r="B19" s="4">
        <v>1424.796</v>
      </c>
      <c r="C19" s="4">
        <v>453.51089999999999</v>
      </c>
      <c r="G19" s="3" t="s">
        <v>11</v>
      </c>
      <c r="H19" s="4">
        <v>-704.7133</v>
      </c>
      <c r="I19" s="4">
        <v>16318.5831</v>
      </c>
      <c r="L19" s="3" t="s">
        <v>408</v>
      </c>
      <c r="M19" s="4">
        <v>16121.816000000001</v>
      </c>
      <c r="N19" s="4">
        <v>86328.781499999997</v>
      </c>
      <c r="O19" s="4">
        <v>-2153.5626999999999</v>
      </c>
      <c r="P19" s="4">
        <v>15763.1769</v>
      </c>
      <c r="Q19" s="4">
        <v>102450.5975</v>
      </c>
      <c r="R19" s="4">
        <v>13609.6142</v>
      </c>
    </row>
    <row r="20" spans="1:18" x14ac:dyDescent="0.3">
      <c r="A20" s="5" t="s">
        <v>430</v>
      </c>
      <c r="B20" s="4">
        <v>1804.15</v>
      </c>
      <c r="C20" s="4">
        <v>265.24619999999999</v>
      </c>
      <c r="G20" s="3" t="s">
        <v>12</v>
      </c>
      <c r="H20" s="4">
        <v>3672.0381000000002</v>
      </c>
      <c r="I20" s="4">
        <v>41823.800999999999</v>
      </c>
      <c r="L20" s="3" t="s">
        <v>2545</v>
      </c>
      <c r="M20" s="4">
        <v>68605.195600000006</v>
      </c>
      <c r="N20" s="4">
        <v>204567.62549999999</v>
      </c>
      <c r="O20" s="4">
        <v>-24342.722699999998</v>
      </c>
      <c r="P20" s="4">
        <v>47550.960700000003</v>
      </c>
      <c r="Q20" s="4">
        <v>273172.8211</v>
      </c>
      <c r="R20" s="4">
        <v>23208.238000000001</v>
      </c>
    </row>
    <row r="21" spans="1:18" x14ac:dyDescent="0.3">
      <c r="A21" s="5" t="s">
        <v>425</v>
      </c>
      <c r="B21" s="4">
        <v>4999.5959999999995</v>
      </c>
      <c r="C21" s="4">
        <v>857.0539</v>
      </c>
      <c r="G21" s="3" t="s">
        <v>152</v>
      </c>
      <c r="H21" s="4">
        <v>7984.9192999999996</v>
      </c>
      <c r="I21" s="4">
        <v>24399.727999999999</v>
      </c>
    </row>
    <row r="22" spans="1:18" x14ac:dyDescent="0.3">
      <c r="A22" s="5" t="s">
        <v>396</v>
      </c>
      <c r="B22" s="4">
        <v>6682.5780000000004</v>
      </c>
      <c r="C22" s="4">
        <v>1382.8384000000001</v>
      </c>
      <c r="G22" s="3" t="s">
        <v>51</v>
      </c>
      <c r="H22" s="4">
        <v>1151.3107</v>
      </c>
      <c r="I22" s="4">
        <v>2659.63</v>
      </c>
    </row>
    <row r="23" spans="1:18" x14ac:dyDescent="0.3">
      <c r="A23" s="5" t="s">
        <v>447</v>
      </c>
      <c r="B23" s="4">
        <v>5270.1450000000004</v>
      </c>
      <c r="C23" s="4">
        <v>502.91879999999998</v>
      </c>
      <c r="G23" s="3" t="s">
        <v>68</v>
      </c>
      <c r="H23" s="4">
        <v>105.9726</v>
      </c>
      <c r="I23" s="4">
        <v>284.404</v>
      </c>
    </row>
    <row r="24" spans="1:18" x14ac:dyDescent="0.3">
      <c r="A24" s="5" t="s">
        <v>417</v>
      </c>
      <c r="B24" s="4">
        <v>8576.8860000000004</v>
      </c>
      <c r="C24" s="4">
        <v>1808.6523</v>
      </c>
      <c r="G24" s="3" t="s">
        <v>24</v>
      </c>
      <c r="H24" s="4">
        <v>1406.9760000000001</v>
      </c>
      <c r="I24" s="4">
        <v>12519.56</v>
      </c>
    </row>
    <row r="25" spans="1:18" x14ac:dyDescent="0.3">
      <c r="A25" s="5" t="s">
        <v>392</v>
      </c>
      <c r="B25" s="4">
        <v>5942.96</v>
      </c>
      <c r="C25" s="4">
        <v>513.13850000000002</v>
      </c>
      <c r="G25" s="3" t="s">
        <v>18</v>
      </c>
      <c r="H25" s="4">
        <v>777.47550000000001</v>
      </c>
      <c r="I25" s="4">
        <v>1684.056</v>
      </c>
    </row>
    <row r="26" spans="1:18" x14ac:dyDescent="0.3">
      <c r="A26" s="5" t="s">
        <v>399</v>
      </c>
      <c r="B26" s="4">
        <v>4729.7190000000001</v>
      </c>
      <c r="C26" s="4">
        <v>476.3648</v>
      </c>
      <c r="G26" s="3" t="s">
        <v>114</v>
      </c>
      <c r="H26" s="4">
        <v>-3893.5925999999999</v>
      </c>
      <c r="I26" s="4">
        <v>16543.212</v>
      </c>
    </row>
    <row r="27" spans="1:18" x14ac:dyDescent="0.3">
      <c r="A27" s="5" t="s">
        <v>428</v>
      </c>
      <c r="B27" s="4">
        <v>6138.1490000000003</v>
      </c>
      <c r="C27" s="4">
        <v>-678.99120000000005</v>
      </c>
      <c r="G27" s="3" t="s">
        <v>32</v>
      </c>
      <c r="H27" s="4">
        <v>3792.1201000000001</v>
      </c>
      <c r="I27" s="4">
        <v>8747.44</v>
      </c>
    </row>
    <row r="28" spans="1:18" x14ac:dyDescent="0.3">
      <c r="A28" s="3">
        <v>2015</v>
      </c>
      <c r="B28" s="4"/>
      <c r="C28" s="4"/>
      <c r="G28" s="3" t="s">
        <v>27</v>
      </c>
      <c r="H28" s="4">
        <v>5120.6523999999999</v>
      </c>
      <c r="I28" s="4">
        <v>41913.5</v>
      </c>
    </row>
    <row r="29" spans="1:18" x14ac:dyDescent="0.3">
      <c r="A29" s="5" t="s">
        <v>406</v>
      </c>
      <c r="B29" s="4">
        <v>3251.8490000000002</v>
      </c>
      <c r="C29" s="4">
        <v>-1286.3647000000001</v>
      </c>
      <c r="G29" s="3" t="s">
        <v>23</v>
      </c>
      <c r="H29" s="4">
        <v>1639.6552999999999</v>
      </c>
      <c r="I29" s="4">
        <v>21820.966</v>
      </c>
    </row>
    <row r="30" spans="1:18" x14ac:dyDescent="0.3">
      <c r="A30" s="5" t="s">
        <v>420</v>
      </c>
      <c r="B30" s="4">
        <v>5705.1360000000004</v>
      </c>
      <c r="C30" s="4">
        <v>1350.769</v>
      </c>
      <c r="G30" s="3" t="s">
        <v>101</v>
      </c>
      <c r="H30" s="4">
        <v>-25.815200000000001</v>
      </c>
      <c r="I30" s="4">
        <v>692.21600000000001</v>
      </c>
    </row>
    <row r="31" spans="1:18" x14ac:dyDescent="0.3">
      <c r="A31" s="5" t="s">
        <v>410</v>
      </c>
      <c r="B31" s="4">
        <v>6409.0619999999999</v>
      </c>
      <c r="C31" s="4">
        <v>590.58109999999999</v>
      </c>
      <c r="G31" s="3" t="s">
        <v>22</v>
      </c>
      <c r="H31" s="4">
        <v>-5882.0707000000002</v>
      </c>
      <c r="I31" s="4">
        <v>33204.347000000002</v>
      </c>
    </row>
    <row r="32" spans="1:18" x14ac:dyDescent="0.3">
      <c r="A32" s="5" t="s">
        <v>529</v>
      </c>
      <c r="B32" s="4">
        <v>1100.3810000000001</v>
      </c>
      <c r="C32" s="4">
        <v>242.77010000000001</v>
      </c>
      <c r="G32" s="3" t="s">
        <v>2545</v>
      </c>
      <c r="H32" s="4">
        <v>23208.238000000001</v>
      </c>
      <c r="I32" s="4">
        <v>273172.8211</v>
      </c>
    </row>
    <row r="33" spans="1:3" x14ac:dyDescent="0.3">
      <c r="A33" s="5" t="s">
        <v>430</v>
      </c>
      <c r="B33" s="4">
        <v>6906.14</v>
      </c>
      <c r="C33" s="4">
        <v>-2278.3216000000002</v>
      </c>
    </row>
    <row r="34" spans="1:3" x14ac:dyDescent="0.3">
      <c r="A34" s="5" t="s">
        <v>425</v>
      </c>
      <c r="B34" s="4">
        <v>7370.3149999999996</v>
      </c>
      <c r="C34" s="4">
        <v>801.70010000000002</v>
      </c>
    </row>
    <row r="35" spans="1:3" x14ac:dyDescent="0.3">
      <c r="A35" s="5" t="s">
        <v>396</v>
      </c>
      <c r="B35" s="4">
        <v>2532.3180000000002</v>
      </c>
      <c r="C35" s="4">
        <v>459.94260000000003</v>
      </c>
    </row>
    <row r="36" spans="1:3" x14ac:dyDescent="0.3">
      <c r="A36" s="5" t="s">
        <v>447</v>
      </c>
      <c r="B36" s="4">
        <v>5807.3860000000004</v>
      </c>
      <c r="C36" s="4">
        <v>916.67020000000002</v>
      </c>
    </row>
    <row r="37" spans="1:3" x14ac:dyDescent="0.3">
      <c r="A37" s="5" t="s">
        <v>417</v>
      </c>
      <c r="B37" s="4">
        <v>4288.8230000000003</v>
      </c>
      <c r="C37" s="4">
        <v>20.381799999999998</v>
      </c>
    </row>
    <row r="38" spans="1:3" x14ac:dyDescent="0.3">
      <c r="A38" s="5" t="s">
        <v>392</v>
      </c>
      <c r="B38" s="4">
        <v>6207.6205</v>
      </c>
      <c r="C38" s="4">
        <v>332.95400000000001</v>
      </c>
    </row>
    <row r="39" spans="1:3" x14ac:dyDescent="0.3">
      <c r="A39" s="5" t="s">
        <v>399</v>
      </c>
      <c r="B39" s="4">
        <v>4969.0955000000004</v>
      </c>
      <c r="C39" s="4">
        <v>493.40809999999999</v>
      </c>
    </row>
    <row r="40" spans="1:3" x14ac:dyDescent="0.3">
      <c r="A40" s="5" t="s">
        <v>428</v>
      </c>
      <c r="B40" s="4">
        <v>9080.2620000000006</v>
      </c>
      <c r="C40" s="4">
        <v>-668.30269999999996</v>
      </c>
    </row>
    <row r="41" spans="1:3" x14ac:dyDescent="0.3">
      <c r="A41" s="3">
        <v>2016</v>
      </c>
      <c r="B41" s="4"/>
      <c r="C41" s="4"/>
    </row>
    <row r="42" spans="1:3" x14ac:dyDescent="0.3">
      <c r="A42" s="5" t="s">
        <v>406</v>
      </c>
      <c r="B42" s="4">
        <v>7789.7479999999996</v>
      </c>
      <c r="C42" s="4">
        <v>1142.9460999999999</v>
      </c>
    </row>
    <row r="43" spans="1:3" x14ac:dyDescent="0.3">
      <c r="A43" s="5" t="s">
        <v>420</v>
      </c>
      <c r="B43" s="4">
        <v>2697.2739999999999</v>
      </c>
      <c r="C43" s="4">
        <v>232.21770000000001</v>
      </c>
    </row>
    <row r="44" spans="1:3" x14ac:dyDescent="0.3">
      <c r="A44" s="5" t="s">
        <v>410</v>
      </c>
      <c r="B44" s="4">
        <v>11733.434999999999</v>
      </c>
      <c r="C44" s="4">
        <v>454.45179999999999</v>
      </c>
    </row>
    <row r="45" spans="1:3" x14ac:dyDescent="0.3">
      <c r="A45" s="5" t="s">
        <v>529</v>
      </c>
      <c r="B45" s="4">
        <v>5635.41</v>
      </c>
      <c r="C45" s="4">
        <v>844.95989999999995</v>
      </c>
    </row>
    <row r="46" spans="1:3" x14ac:dyDescent="0.3">
      <c r="A46" s="5" t="s">
        <v>430</v>
      </c>
      <c r="B46" s="4">
        <v>4390.2839999999997</v>
      </c>
      <c r="C46" s="4">
        <v>987.87310000000002</v>
      </c>
    </row>
    <row r="47" spans="1:3" x14ac:dyDescent="0.3">
      <c r="A47" s="5" t="s">
        <v>425</v>
      </c>
      <c r="B47" s="4">
        <v>3851.873</v>
      </c>
      <c r="C47" s="4">
        <v>579.83360000000005</v>
      </c>
    </row>
    <row r="48" spans="1:3" x14ac:dyDescent="0.3">
      <c r="A48" s="5" t="s">
        <v>396</v>
      </c>
      <c r="B48" s="4">
        <v>3122.4879999999998</v>
      </c>
      <c r="C48" s="4">
        <v>466.0444</v>
      </c>
    </row>
    <row r="49" spans="1:3" x14ac:dyDescent="0.3">
      <c r="A49" s="5" t="s">
        <v>447</v>
      </c>
      <c r="B49" s="4">
        <v>6955.2619999999997</v>
      </c>
      <c r="C49" s="4">
        <v>203.33369999999999</v>
      </c>
    </row>
    <row r="50" spans="1:3" x14ac:dyDescent="0.3">
      <c r="A50" s="5" t="s">
        <v>417</v>
      </c>
      <c r="B50" s="4">
        <v>8808.59</v>
      </c>
      <c r="C50" s="4">
        <v>2003.7551000000001</v>
      </c>
    </row>
    <row r="51" spans="1:3" x14ac:dyDescent="0.3">
      <c r="A51" s="5" t="s">
        <v>392</v>
      </c>
      <c r="B51" s="4">
        <v>3571.2159999999999</v>
      </c>
      <c r="C51" s="4">
        <v>605.63879999999995</v>
      </c>
    </row>
    <row r="52" spans="1:3" x14ac:dyDescent="0.3">
      <c r="A52" s="5" t="s">
        <v>399</v>
      </c>
      <c r="B52" s="4">
        <v>3204.0509999999999</v>
      </c>
      <c r="C52" s="4">
        <v>353.7912</v>
      </c>
    </row>
    <row r="53" spans="1:3" x14ac:dyDescent="0.3">
      <c r="A53" s="5" t="s">
        <v>428</v>
      </c>
      <c r="B53" s="4">
        <v>5341.2518</v>
      </c>
      <c r="C53" s="4">
        <v>-1198.4175</v>
      </c>
    </row>
    <row r="54" spans="1:3" x14ac:dyDescent="0.3">
      <c r="A54" s="3">
        <v>2017</v>
      </c>
      <c r="B54" s="4"/>
      <c r="C54" s="4"/>
    </row>
    <row r="55" spans="1:3" x14ac:dyDescent="0.3">
      <c r="A55" s="5" t="s">
        <v>406</v>
      </c>
      <c r="B55" s="4">
        <v>2786.0059999999999</v>
      </c>
      <c r="C55" s="4">
        <v>-171.1533</v>
      </c>
    </row>
    <row r="56" spans="1:3" x14ac:dyDescent="0.3">
      <c r="A56" s="5" t="s">
        <v>420</v>
      </c>
      <c r="B56" s="4">
        <v>9674.0859999999993</v>
      </c>
      <c r="C56" s="4">
        <v>1057.8308</v>
      </c>
    </row>
    <row r="57" spans="1:3" x14ac:dyDescent="0.3">
      <c r="A57" s="5" t="s">
        <v>410</v>
      </c>
      <c r="B57" s="4">
        <v>4197.1880000000001</v>
      </c>
      <c r="C57" s="4">
        <v>643.8184</v>
      </c>
    </row>
    <row r="58" spans="1:3" x14ac:dyDescent="0.3">
      <c r="A58" s="5" t="s">
        <v>529</v>
      </c>
      <c r="B58" s="4">
        <v>3325.3780000000002</v>
      </c>
      <c r="C58" s="4">
        <v>-584.38239999999996</v>
      </c>
    </row>
    <row r="59" spans="1:3" x14ac:dyDescent="0.3">
      <c r="A59" s="5" t="s">
        <v>430</v>
      </c>
      <c r="B59" s="4">
        <v>9174.4470000000001</v>
      </c>
      <c r="C59" s="4">
        <v>2036.7907</v>
      </c>
    </row>
    <row r="60" spans="1:3" x14ac:dyDescent="0.3">
      <c r="A60" s="5" t="s">
        <v>425</v>
      </c>
      <c r="B60" s="4">
        <v>6686.26</v>
      </c>
      <c r="C60" s="4">
        <v>959.97080000000005</v>
      </c>
    </row>
    <row r="61" spans="1:3" x14ac:dyDescent="0.3">
      <c r="A61" s="5" t="s">
        <v>396</v>
      </c>
      <c r="B61" s="4">
        <v>4161.3415000000005</v>
      </c>
      <c r="C61" s="4">
        <v>766.28610000000003</v>
      </c>
    </row>
    <row r="62" spans="1:3" x14ac:dyDescent="0.3">
      <c r="A62" s="5" t="s">
        <v>447</v>
      </c>
      <c r="B62" s="4">
        <v>4566.5907999999999</v>
      </c>
      <c r="C62" s="4">
        <v>1336.4812999999999</v>
      </c>
    </row>
    <row r="63" spans="1:3" x14ac:dyDescent="0.3">
      <c r="A63" s="5" t="s">
        <v>417</v>
      </c>
      <c r="B63" s="4">
        <v>4531.42</v>
      </c>
      <c r="C63" s="4">
        <v>763.46360000000004</v>
      </c>
    </row>
    <row r="64" spans="1:3" x14ac:dyDescent="0.3">
      <c r="A64" s="5" t="s">
        <v>392</v>
      </c>
      <c r="B64" s="4">
        <v>11424.401</v>
      </c>
      <c r="C64" s="4">
        <v>-3555.8157999999999</v>
      </c>
    </row>
    <row r="65" spans="1:3" x14ac:dyDescent="0.3">
      <c r="A65" s="5" t="s">
        <v>399</v>
      </c>
      <c r="B65" s="4">
        <v>17025.061000000002</v>
      </c>
      <c r="C65" s="4">
        <v>4918.8098</v>
      </c>
    </row>
    <row r="66" spans="1:3" x14ac:dyDescent="0.3">
      <c r="A66" s="5" t="s">
        <v>428</v>
      </c>
      <c r="B66" s="4">
        <v>2635.3809999999999</v>
      </c>
      <c r="C66" s="4">
        <v>-430.5138</v>
      </c>
    </row>
    <row r="67" spans="1:3" x14ac:dyDescent="0.3">
      <c r="A67" s="3" t="s">
        <v>2545</v>
      </c>
      <c r="B67" s="4">
        <v>273172.8211</v>
      </c>
      <c r="C67" s="4">
        <v>23208.238000000001</v>
      </c>
    </row>
  </sheetData>
  <sortState xmlns:xlrd2="http://schemas.microsoft.com/office/spreadsheetml/2017/richdata2" ref="G14:I32">
    <sortCondition ref="H14"/>
  </sortState>
  <mergeCells count="6">
    <mergeCell ref="A1:D2"/>
    <mergeCell ref="G1:I2"/>
    <mergeCell ref="L1:O2"/>
    <mergeCell ref="A12:C13"/>
    <mergeCell ref="L12:R13"/>
    <mergeCell ref="G12:I13"/>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5AEE-BB1E-42CE-8268-7F799113DA80}">
  <dimension ref="A1:S1238"/>
  <sheetViews>
    <sheetView showGridLines="0" tabSelected="1" workbookViewId="0">
      <selection activeCell="H64" sqref="H64"/>
    </sheetView>
  </sheetViews>
  <sheetFormatPr defaultRowHeight="14.4" x14ac:dyDescent="0.3"/>
  <cols>
    <col min="1" max="1" width="9.6640625" bestFit="1" customWidth="1"/>
    <col min="2" max="2" width="14.6640625" bestFit="1" customWidth="1"/>
    <col min="3" max="3" width="12.6640625" bestFit="1" customWidth="1"/>
    <col min="4" max="4" width="14.77734375" bestFit="1" customWidth="1"/>
    <col min="5" max="5" width="11.33203125" bestFit="1" customWidth="1"/>
    <col min="6" max="7" width="17.33203125" bestFit="1" customWidth="1"/>
    <col min="8" max="8" width="9" bestFit="1" customWidth="1"/>
    <col min="9" max="9" width="16.33203125" bestFit="1" customWidth="1"/>
    <col min="10" max="10" width="13.109375" bestFit="1" customWidth="1"/>
    <col min="11" max="11" width="14.6640625" bestFit="1" customWidth="1"/>
    <col min="12" max="12" width="12.88671875" bestFit="1" customWidth="1"/>
    <col min="13" max="13" width="10" bestFit="1" customWidth="1"/>
    <col min="14" max="15" width="10.5546875" bestFit="1" customWidth="1"/>
    <col min="16" max="16" width="10.6640625" bestFit="1" customWidth="1"/>
    <col min="17" max="17" width="14.88671875" bestFit="1" customWidth="1"/>
    <col min="18" max="18" width="11.109375" bestFit="1" customWidth="1"/>
    <col min="19" max="19" width="19.21875" bestFit="1" customWidth="1"/>
  </cols>
  <sheetData>
    <row r="1" spans="1:19" x14ac:dyDescent="0.3">
      <c r="A1" t="s">
        <v>2526</v>
      </c>
      <c r="B1" t="s">
        <v>2527</v>
      </c>
      <c r="C1" t="s">
        <v>2528</v>
      </c>
      <c r="D1" t="s">
        <v>2529</v>
      </c>
      <c r="E1" t="s">
        <v>2530</v>
      </c>
      <c r="F1" t="s">
        <v>2531</v>
      </c>
      <c r="G1" t="s">
        <v>2532</v>
      </c>
      <c r="H1" t="s">
        <v>2533</v>
      </c>
      <c r="I1" t="s">
        <v>2534</v>
      </c>
      <c r="J1" t="s">
        <v>2535</v>
      </c>
      <c r="K1" t="s">
        <v>2542</v>
      </c>
      <c r="L1" t="s">
        <v>2536</v>
      </c>
      <c r="M1" t="s">
        <v>2537</v>
      </c>
      <c r="N1" t="s">
        <v>2538</v>
      </c>
      <c r="O1" t="s">
        <v>2539</v>
      </c>
      <c r="P1" t="s">
        <v>2540</v>
      </c>
      <c r="Q1" t="s">
        <v>2541</v>
      </c>
      <c r="R1" t="s">
        <v>2543</v>
      </c>
      <c r="S1" t="s">
        <v>2544</v>
      </c>
    </row>
    <row r="2" spans="1:19" x14ac:dyDescent="0.3">
      <c r="A2">
        <v>1</v>
      </c>
      <c r="B2" t="s">
        <v>391</v>
      </c>
      <c r="C2">
        <v>2016</v>
      </c>
      <c r="D2" t="s">
        <v>392</v>
      </c>
      <c r="E2" t="s">
        <v>6</v>
      </c>
      <c r="F2" t="s">
        <v>7</v>
      </c>
      <c r="G2" t="s">
        <v>8</v>
      </c>
      <c r="H2" t="s">
        <v>9</v>
      </c>
      <c r="I2" t="s">
        <v>393</v>
      </c>
      <c r="J2" t="s">
        <v>10</v>
      </c>
      <c r="K2" t="s">
        <v>11</v>
      </c>
      <c r="L2" t="s">
        <v>5</v>
      </c>
      <c r="M2">
        <v>261.95999999999998</v>
      </c>
      <c r="N2">
        <v>2</v>
      </c>
      <c r="O2">
        <v>0</v>
      </c>
      <c r="P2">
        <v>41.913600000000002</v>
      </c>
      <c r="Q2" s="1">
        <v>0.16</v>
      </c>
      <c r="R2" t="s">
        <v>4</v>
      </c>
      <c r="S2" t="s">
        <v>394</v>
      </c>
    </row>
    <row r="3" spans="1:19" x14ac:dyDescent="0.3">
      <c r="A3">
        <v>3</v>
      </c>
      <c r="B3" t="s">
        <v>395</v>
      </c>
      <c r="C3">
        <v>2016</v>
      </c>
      <c r="D3" t="s">
        <v>396</v>
      </c>
      <c r="E3" t="s">
        <v>13</v>
      </c>
      <c r="F3" t="s">
        <v>14</v>
      </c>
      <c r="G3" t="s">
        <v>15</v>
      </c>
      <c r="H3" t="s">
        <v>16</v>
      </c>
      <c r="I3" t="s">
        <v>397</v>
      </c>
      <c r="J3" t="s">
        <v>17</v>
      </c>
      <c r="K3" t="s">
        <v>18</v>
      </c>
      <c r="L3" t="s">
        <v>5</v>
      </c>
      <c r="M3">
        <v>14.62</v>
      </c>
      <c r="N3">
        <v>2</v>
      </c>
      <c r="O3">
        <v>0</v>
      </c>
      <c r="P3">
        <v>6.8714000000000004</v>
      </c>
      <c r="Q3" s="1">
        <v>0.47</v>
      </c>
      <c r="R3" t="s">
        <v>4</v>
      </c>
      <c r="S3" t="s">
        <v>394</v>
      </c>
    </row>
    <row r="4" spans="1:19" x14ac:dyDescent="0.3">
      <c r="A4">
        <v>4</v>
      </c>
      <c r="B4" t="s">
        <v>398</v>
      </c>
      <c r="C4">
        <v>2015</v>
      </c>
      <c r="D4" t="s">
        <v>399</v>
      </c>
      <c r="E4" t="s">
        <v>6</v>
      </c>
      <c r="F4" t="s">
        <v>20</v>
      </c>
      <c r="G4" t="s">
        <v>21</v>
      </c>
      <c r="H4" t="s">
        <v>9</v>
      </c>
      <c r="I4" t="s">
        <v>400</v>
      </c>
      <c r="J4" t="s">
        <v>10</v>
      </c>
      <c r="K4" t="s">
        <v>22</v>
      </c>
      <c r="L4" t="s">
        <v>19</v>
      </c>
      <c r="M4">
        <v>957.57749999999999</v>
      </c>
      <c r="N4">
        <v>5</v>
      </c>
      <c r="O4">
        <v>0.45</v>
      </c>
      <c r="P4">
        <v>-383.03100000000001</v>
      </c>
      <c r="Q4" s="1">
        <v>-0.4</v>
      </c>
      <c r="R4" t="s">
        <v>401</v>
      </c>
      <c r="S4" t="s">
        <v>402</v>
      </c>
    </row>
    <row r="5" spans="1:19" x14ac:dyDescent="0.3">
      <c r="A5">
        <v>6</v>
      </c>
      <c r="B5" t="s">
        <v>403</v>
      </c>
      <c r="C5">
        <v>2014</v>
      </c>
      <c r="D5" t="s">
        <v>396</v>
      </c>
      <c r="E5" t="s">
        <v>6</v>
      </c>
      <c r="F5" t="s">
        <v>14</v>
      </c>
      <c r="G5" t="s">
        <v>15</v>
      </c>
      <c r="H5" t="s">
        <v>16</v>
      </c>
      <c r="I5" t="s">
        <v>404</v>
      </c>
      <c r="J5" t="s">
        <v>10</v>
      </c>
      <c r="K5" t="s">
        <v>24</v>
      </c>
      <c r="L5" t="s">
        <v>19</v>
      </c>
      <c r="M5">
        <v>48.86</v>
      </c>
      <c r="N5">
        <v>7</v>
      </c>
      <c r="O5">
        <v>0</v>
      </c>
      <c r="P5">
        <v>14.1694</v>
      </c>
      <c r="Q5" s="1">
        <v>0.28999999999999998</v>
      </c>
      <c r="R5" t="s">
        <v>4</v>
      </c>
      <c r="S5" t="s">
        <v>394</v>
      </c>
    </row>
    <row r="6" spans="1:19" x14ac:dyDescent="0.3">
      <c r="A6">
        <v>13</v>
      </c>
      <c r="B6" t="s">
        <v>405</v>
      </c>
      <c r="C6">
        <v>2017</v>
      </c>
      <c r="D6" t="s">
        <v>406</v>
      </c>
      <c r="E6" t="s">
        <v>6</v>
      </c>
      <c r="F6" t="s">
        <v>30</v>
      </c>
      <c r="G6" t="s">
        <v>31</v>
      </c>
      <c r="H6" t="s">
        <v>9</v>
      </c>
      <c r="I6" t="s">
        <v>407</v>
      </c>
      <c r="J6" t="s">
        <v>17</v>
      </c>
      <c r="K6" t="s">
        <v>32</v>
      </c>
      <c r="L6" t="s">
        <v>19</v>
      </c>
      <c r="M6">
        <v>15.552</v>
      </c>
      <c r="N6">
        <v>3</v>
      </c>
      <c r="O6">
        <v>0.2</v>
      </c>
      <c r="P6">
        <v>5.4432</v>
      </c>
      <c r="Q6" s="1">
        <v>0.35</v>
      </c>
      <c r="R6" t="s">
        <v>4</v>
      </c>
      <c r="S6" t="s">
        <v>408</v>
      </c>
    </row>
    <row r="7" spans="1:19" x14ac:dyDescent="0.3">
      <c r="A7">
        <v>14</v>
      </c>
      <c r="B7" t="s">
        <v>409</v>
      </c>
      <c r="C7">
        <v>2016</v>
      </c>
      <c r="D7" t="s">
        <v>410</v>
      </c>
      <c r="E7" t="s">
        <v>6</v>
      </c>
      <c r="F7" t="s">
        <v>33</v>
      </c>
      <c r="G7" t="s">
        <v>34</v>
      </c>
      <c r="H7" t="s">
        <v>16</v>
      </c>
      <c r="I7" t="s">
        <v>411</v>
      </c>
      <c r="J7" t="s">
        <v>17</v>
      </c>
      <c r="K7" t="s">
        <v>28</v>
      </c>
      <c r="L7" t="s">
        <v>19</v>
      </c>
      <c r="M7">
        <v>407.976</v>
      </c>
      <c r="N7">
        <v>3</v>
      </c>
      <c r="O7">
        <v>0.2</v>
      </c>
      <c r="P7">
        <v>132.59219999999999</v>
      </c>
      <c r="Q7" s="1">
        <v>0.32500000000000001</v>
      </c>
      <c r="R7" t="s">
        <v>4</v>
      </c>
      <c r="S7" t="s">
        <v>408</v>
      </c>
    </row>
    <row r="8" spans="1:19" x14ac:dyDescent="0.3">
      <c r="A8">
        <v>15</v>
      </c>
      <c r="B8" t="s">
        <v>412</v>
      </c>
      <c r="C8">
        <v>2015</v>
      </c>
      <c r="D8" t="s">
        <v>392</v>
      </c>
      <c r="E8" t="s">
        <v>35</v>
      </c>
      <c r="F8" t="s">
        <v>36</v>
      </c>
      <c r="G8" t="s">
        <v>37</v>
      </c>
      <c r="H8" t="s">
        <v>38</v>
      </c>
      <c r="I8" t="s">
        <v>413</v>
      </c>
      <c r="J8" t="s">
        <v>17</v>
      </c>
      <c r="K8" t="s">
        <v>29</v>
      </c>
      <c r="L8" t="s">
        <v>19</v>
      </c>
      <c r="M8">
        <v>68.81</v>
      </c>
      <c r="N8">
        <v>5</v>
      </c>
      <c r="O8">
        <v>0.8</v>
      </c>
      <c r="P8">
        <v>-123.858</v>
      </c>
      <c r="Q8" s="1">
        <v>-1.8</v>
      </c>
      <c r="R8" t="s">
        <v>401</v>
      </c>
      <c r="S8" t="s">
        <v>402</v>
      </c>
    </row>
    <row r="9" spans="1:19" x14ac:dyDescent="0.3">
      <c r="A9">
        <v>17</v>
      </c>
      <c r="B9" t="s">
        <v>414</v>
      </c>
      <c r="C9">
        <v>2014</v>
      </c>
      <c r="D9" t="s">
        <v>392</v>
      </c>
      <c r="E9" t="s">
        <v>6</v>
      </c>
      <c r="F9" t="s">
        <v>39</v>
      </c>
      <c r="G9" t="s">
        <v>40</v>
      </c>
      <c r="H9" t="s">
        <v>38</v>
      </c>
      <c r="I9" t="s">
        <v>415</v>
      </c>
      <c r="J9" t="s">
        <v>17</v>
      </c>
      <c r="K9" t="s">
        <v>23</v>
      </c>
      <c r="L9" t="s">
        <v>19</v>
      </c>
      <c r="M9">
        <v>665.88</v>
      </c>
      <c r="N9">
        <v>6</v>
      </c>
      <c r="O9">
        <v>0</v>
      </c>
      <c r="P9">
        <v>13.317600000000001</v>
      </c>
      <c r="Q9" s="1">
        <v>0.02</v>
      </c>
      <c r="R9" t="s">
        <v>4</v>
      </c>
      <c r="S9" t="s">
        <v>394</v>
      </c>
    </row>
    <row r="10" spans="1:19" x14ac:dyDescent="0.3">
      <c r="A10">
        <v>18</v>
      </c>
      <c r="B10" t="s">
        <v>416</v>
      </c>
      <c r="C10">
        <v>2014</v>
      </c>
      <c r="D10" t="s">
        <v>417</v>
      </c>
      <c r="E10" t="s">
        <v>6</v>
      </c>
      <c r="F10" t="s">
        <v>41</v>
      </c>
      <c r="G10" t="s">
        <v>42</v>
      </c>
      <c r="H10" t="s">
        <v>16</v>
      </c>
      <c r="I10" t="s">
        <v>418</v>
      </c>
      <c r="J10" t="s">
        <v>17</v>
      </c>
      <c r="K10" t="s">
        <v>23</v>
      </c>
      <c r="L10" t="s">
        <v>5</v>
      </c>
      <c r="M10">
        <v>55.5</v>
      </c>
      <c r="N10">
        <v>2</v>
      </c>
      <c r="O10">
        <v>0</v>
      </c>
      <c r="P10">
        <v>9.99</v>
      </c>
      <c r="Q10" s="1">
        <v>0.18</v>
      </c>
      <c r="R10" t="s">
        <v>4</v>
      </c>
      <c r="S10" t="s">
        <v>394</v>
      </c>
    </row>
    <row r="11" spans="1:19" x14ac:dyDescent="0.3">
      <c r="A11">
        <v>19</v>
      </c>
      <c r="B11" t="s">
        <v>419</v>
      </c>
      <c r="C11">
        <v>2014</v>
      </c>
      <c r="D11" t="s">
        <v>420</v>
      </c>
      <c r="E11" t="s">
        <v>6</v>
      </c>
      <c r="F11" t="s">
        <v>43</v>
      </c>
      <c r="G11" t="s">
        <v>15</v>
      </c>
      <c r="H11" t="s">
        <v>16</v>
      </c>
      <c r="I11" t="s">
        <v>421</v>
      </c>
      <c r="J11" t="s">
        <v>17</v>
      </c>
      <c r="K11" t="s">
        <v>25</v>
      </c>
      <c r="L11" t="s">
        <v>5</v>
      </c>
      <c r="M11">
        <v>8.56</v>
      </c>
      <c r="N11">
        <v>2</v>
      </c>
      <c r="O11">
        <v>0</v>
      </c>
      <c r="P11">
        <v>2.4824000000000002</v>
      </c>
      <c r="Q11" s="1">
        <v>0.28999999999999998</v>
      </c>
      <c r="R11" t="s">
        <v>4</v>
      </c>
      <c r="S11" t="s">
        <v>394</v>
      </c>
    </row>
    <row r="12" spans="1:19" x14ac:dyDescent="0.3">
      <c r="A12">
        <v>22</v>
      </c>
      <c r="B12" t="s">
        <v>422</v>
      </c>
      <c r="C12">
        <v>2016</v>
      </c>
      <c r="D12" t="s">
        <v>410</v>
      </c>
      <c r="E12" t="s">
        <v>13</v>
      </c>
      <c r="F12" t="s">
        <v>44</v>
      </c>
      <c r="G12" t="s">
        <v>45</v>
      </c>
      <c r="H12" t="s">
        <v>38</v>
      </c>
      <c r="I12" t="s">
        <v>423</v>
      </c>
      <c r="J12" t="s">
        <v>17</v>
      </c>
      <c r="K12" t="s">
        <v>25</v>
      </c>
      <c r="L12" t="s">
        <v>19</v>
      </c>
      <c r="M12">
        <v>19.46</v>
      </c>
      <c r="N12">
        <v>7</v>
      </c>
      <c r="O12">
        <v>0</v>
      </c>
      <c r="P12">
        <v>5.0595999999999997</v>
      </c>
      <c r="Q12" s="1">
        <v>0.26</v>
      </c>
      <c r="R12" t="s">
        <v>4</v>
      </c>
      <c r="S12" t="s">
        <v>394</v>
      </c>
    </row>
    <row r="13" spans="1:19" x14ac:dyDescent="0.3">
      <c r="A13">
        <v>24</v>
      </c>
      <c r="B13" t="s">
        <v>424</v>
      </c>
      <c r="C13">
        <v>2017</v>
      </c>
      <c r="D13" t="s">
        <v>425</v>
      </c>
      <c r="E13" t="s">
        <v>6</v>
      </c>
      <c r="F13" t="s">
        <v>46</v>
      </c>
      <c r="G13" t="s">
        <v>47</v>
      </c>
      <c r="H13" t="s">
        <v>48</v>
      </c>
      <c r="I13" t="s">
        <v>426</v>
      </c>
      <c r="J13" t="s">
        <v>10</v>
      </c>
      <c r="K13" t="s">
        <v>12</v>
      </c>
      <c r="L13" t="s">
        <v>5</v>
      </c>
      <c r="M13">
        <v>71.372</v>
      </c>
      <c r="N13">
        <v>2</v>
      </c>
      <c r="O13">
        <v>0.3</v>
      </c>
      <c r="P13">
        <v>-1.0196000000000001</v>
      </c>
      <c r="Q13" s="1">
        <v>-1.4285714285714299E-2</v>
      </c>
      <c r="R13" t="s">
        <v>401</v>
      </c>
      <c r="S13" t="s">
        <v>402</v>
      </c>
    </row>
    <row r="14" spans="1:19" x14ac:dyDescent="0.3">
      <c r="A14">
        <v>25</v>
      </c>
      <c r="B14" t="s">
        <v>427</v>
      </c>
      <c r="C14">
        <v>2015</v>
      </c>
      <c r="D14" t="s">
        <v>428</v>
      </c>
      <c r="E14" t="s">
        <v>6</v>
      </c>
      <c r="F14" t="s">
        <v>49</v>
      </c>
      <c r="G14" t="s">
        <v>42</v>
      </c>
      <c r="H14" t="s">
        <v>16</v>
      </c>
      <c r="I14" t="s">
        <v>400</v>
      </c>
      <c r="J14" t="s">
        <v>10</v>
      </c>
      <c r="K14" t="s">
        <v>22</v>
      </c>
      <c r="L14" t="s">
        <v>19</v>
      </c>
      <c r="M14">
        <v>1044.6300000000001</v>
      </c>
      <c r="N14">
        <v>3</v>
      </c>
      <c r="O14">
        <v>0</v>
      </c>
      <c r="P14">
        <v>240.26490000000001</v>
      </c>
      <c r="Q14" s="1">
        <v>0.23</v>
      </c>
      <c r="R14" t="s">
        <v>4</v>
      </c>
      <c r="S14" t="s">
        <v>394</v>
      </c>
    </row>
    <row r="15" spans="1:19" x14ac:dyDescent="0.3">
      <c r="A15">
        <v>26</v>
      </c>
      <c r="B15" t="s">
        <v>429</v>
      </c>
      <c r="C15">
        <v>2016</v>
      </c>
      <c r="D15" t="s">
        <v>430</v>
      </c>
      <c r="E15" t="s">
        <v>6</v>
      </c>
      <c r="F15" t="s">
        <v>14</v>
      </c>
      <c r="G15" t="s">
        <v>15</v>
      </c>
      <c r="H15" t="s">
        <v>16</v>
      </c>
      <c r="I15" t="s">
        <v>431</v>
      </c>
      <c r="J15" t="s">
        <v>17</v>
      </c>
      <c r="K15" t="s">
        <v>28</v>
      </c>
      <c r="L15" t="s">
        <v>5</v>
      </c>
      <c r="M15">
        <v>11.648</v>
      </c>
      <c r="N15">
        <v>2</v>
      </c>
      <c r="O15">
        <v>0.2</v>
      </c>
      <c r="P15">
        <v>4.2224000000000004</v>
      </c>
      <c r="Q15" s="1">
        <v>0.36249999999999999</v>
      </c>
      <c r="R15" t="s">
        <v>4</v>
      </c>
      <c r="S15" t="s">
        <v>408</v>
      </c>
    </row>
    <row r="16" spans="1:19" x14ac:dyDescent="0.3">
      <c r="A16">
        <v>28</v>
      </c>
      <c r="B16" t="s">
        <v>432</v>
      </c>
      <c r="C16">
        <v>2015</v>
      </c>
      <c r="D16" t="s">
        <v>428</v>
      </c>
      <c r="E16" t="s">
        <v>6</v>
      </c>
      <c r="F16" t="s">
        <v>46</v>
      </c>
      <c r="G16" t="s">
        <v>47</v>
      </c>
      <c r="H16" t="s">
        <v>48</v>
      </c>
      <c r="I16" t="s">
        <v>433</v>
      </c>
      <c r="J16" t="s">
        <v>10</v>
      </c>
      <c r="K16" t="s">
        <v>11</v>
      </c>
      <c r="L16" t="s">
        <v>19</v>
      </c>
      <c r="M16">
        <v>3083.43</v>
      </c>
      <c r="N16">
        <v>7</v>
      </c>
      <c r="O16">
        <v>0.5</v>
      </c>
      <c r="P16">
        <v>-1665.0522000000001</v>
      </c>
      <c r="Q16" s="1">
        <v>-0.54</v>
      </c>
      <c r="R16" t="s">
        <v>401</v>
      </c>
      <c r="S16" t="s">
        <v>402</v>
      </c>
    </row>
    <row r="17" spans="1:19" x14ac:dyDescent="0.3">
      <c r="A17">
        <v>35</v>
      </c>
      <c r="B17" t="s">
        <v>434</v>
      </c>
      <c r="C17">
        <v>2017</v>
      </c>
      <c r="D17" t="s">
        <v>399</v>
      </c>
      <c r="E17" t="s">
        <v>35</v>
      </c>
      <c r="F17" t="s">
        <v>52</v>
      </c>
      <c r="G17" t="s">
        <v>37</v>
      </c>
      <c r="H17" t="s">
        <v>38</v>
      </c>
      <c r="I17" t="s">
        <v>435</v>
      </c>
      <c r="J17" t="s">
        <v>17</v>
      </c>
      <c r="K17" t="s">
        <v>32</v>
      </c>
      <c r="L17" t="s">
        <v>5</v>
      </c>
      <c r="M17">
        <v>29.472000000000001</v>
      </c>
      <c r="N17">
        <v>3</v>
      </c>
      <c r="O17">
        <v>0.2</v>
      </c>
      <c r="P17">
        <v>9.9467999999999996</v>
      </c>
      <c r="Q17" s="1">
        <v>0.33750000000000002</v>
      </c>
      <c r="R17" t="s">
        <v>4</v>
      </c>
      <c r="S17" t="s">
        <v>408</v>
      </c>
    </row>
    <row r="18" spans="1:19" x14ac:dyDescent="0.3">
      <c r="A18">
        <v>36</v>
      </c>
      <c r="B18" t="s">
        <v>436</v>
      </c>
      <c r="C18">
        <v>2016</v>
      </c>
      <c r="D18" t="s">
        <v>410</v>
      </c>
      <c r="E18" t="s">
        <v>13</v>
      </c>
      <c r="F18" t="s">
        <v>54</v>
      </c>
      <c r="G18" t="s">
        <v>37</v>
      </c>
      <c r="H18" t="s">
        <v>38</v>
      </c>
      <c r="I18" t="s">
        <v>437</v>
      </c>
      <c r="J18" t="s">
        <v>26</v>
      </c>
      <c r="K18" t="s">
        <v>27</v>
      </c>
      <c r="L18" t="s">
        <v>53</v>
      </c>
      <c r="M18">
        <v>1097.5440000000001</v>
      </c>
      <c r="N18">
        <v>7</v>
      </c>
      <c r="O18">
        <v>0.2</v>
      </c>
      <c r="P18">
        <v>123.47369999999999</v>
      </c>
      <c r="Q18" s="1">
        <v>0.1125</v>
      </c>
      <c r="R18" t="s">
        <v>4</v>
      </c>
      <c r="S18" t="s">
        <v>408</v>
      </c>
    </row>
    <row r="19" spans="1:19" x14ac:dyDescent="0.3">
      <c r="A19">
        <v>38</v>
      </c>
      <c r="B19" t="s">
        <v>438</v>
      </c>
      <c r="C19">
        <v>2015</v>
      </c>
      <c r="D19" t="s">
        <v>410</v>
      </c>
      <c r="E19" t="s">
        <v>35</v>
      </c>
      <c r="F19" t="s">
        <v>52</v>
      </c>
      <c r="G19" t="s">
        <v>37</v>
      </c>
      <c r="H19" t="s">
        <v>38</v>
      </c>
      <c r="I19" t="s">
        <v>439</v>
      </c>
      <c r="J19" t="s">
        <v>17</v>
      </c>
      <c r="K19" t="s">
        <v>51</v>
      </c>
      <c r="L19" t="s">
        <v>19</v>
      </c>
      <c r="M19">
        <v>113.328</v>
      </c>
      <c r="N19">
        <v>9</v>
      </c>
      <c r="O19">
        <v>0.2</v>
      </c>
      <c r="P19">
        <v>35.414999999999999</v>
      </c>
      <c r="Q19" s="1">
        <v>0.3125</v>
      </c>
      <c r="R19" t="s">
        <v>4</v>
      </c>
      <c r="S19" t="s">
        <v>408</v>
      </c>
    </row>
    <row r="20" spans="1:19" x14ac:dyDescent="0.3">
      <c r="A20">
        <v>42</v>
      </c>
      <c r="B20" t="s">
        <v>440</v>
      </c>
      <c r="C20">
        <v>2017</v>
      </c>
      <c r="D20" t="s">
        <v>428</v>
      </c>
      <c r="E20" t="s">
        <v>13</v>
      </c>
      <c r="F20" t="s">
        <v>55</v>
      </c>
      <c r="G20" t="s">
        <v>56</v>
      </c>
      <c r="H20" t="s">
        <v>38</v>
      </c>
      <c r="I20" t="s">
        <v>441</v>
      </c>
      <c r="J20" t="s">
        <v>26</v>
      </c>
      <c r="K20" t="s">
        <v>27</v>
      </c>
      <c r="L20" t="s">
        <v>19</v>
      </c>
      <c r="M20">
        <v>147.16800000000001</v>
      </c>
      <c r="N20">
        <v>4</v>
      </c>
      <c r="O20">
        <v>0.2</v>
      </c>
      <c r="P20">
        <v>16.5564</v>
      </c>
      <c r="Q20" s="1">
        <v>0.1125</v>
      </c>
      <c r="R20" t="s">
        <v>4</v>
      </c>
      <c r="S20" t="s">
        <v>408</v>
      </c>
    </row>
    <row r="21" spans="1:19" x14ac:dyDescent="0.3">
      <c r="A21">
        <v>43</v>
      </c>
      <c r="B21" t="s">
        <v>442</v>
      </c>
      <c r="C21">
        <v>2016</v>
      </c>
      <c r="D21" t="s">
        <v>425</v>
      </c>
      <c r="E21" t="s">
        <v>13</v>
      </c>
      <c r="F21" t="s">
        <v>14</v>
      </c>
      <c r="G21" t="s">
        <v>15</v>
      </c>
      <c r="H21" t="s">
        <v>16</v>
      </c>
      <c r="I21" t="s">
        <v>443</v>
      </c>
      <c r="J21" t="s">
        <v>17</v>
      </c>
      <c r="K21" t="s">
        <v>23</v>
      </c>
      <c r="L21" t="s">
        <v>19</v>
      </c>
      <c r="M21">
        <v>77.88</v>
      </c>
      <c r="N21">
        <v>2</v>
      </c>
      <c r="O21">
        <v>0</v>
      </c>
      <c r="P21">
        <v>3.8940000000000001</v>
      </c>
      <c r="Q21" s="1">
        <v>0.05</v>
      </c>
      <c r="R21" t="s">
        <v>4</v>
      </c>
      <c r="S21" t="s">
        <v>394</v>
      </c>
    </row>
    <row r="22" spans="1:19" x14ac:dyDescent="0.3">
      <c r="A22">
        <v>44</v>
      </c>
      <c r="B22" t="s">
        <v>444</v>
      </c>
      <c r="C22">
        <v>2017</v>
      </c>
      <c r="D22" t="s">
        <v>428</v>
      </c>
      <c r="E22" t="s">
        <v>13</v>
      </c>
      <c r="F22" t="s">
        <v>57</v>
      </c>
      <c r="G22" t="s">
        <v>21</v>
      </c>
      <c r="H22" t="s">
        <v>9</v>
      </c>
      <c r="I22" t="s">
        <v>445</v>
      </c>
      <c r="J22" t="s">
        <v>17</v>
      </c>
      <c r="K22" t="s">
        <v>23</v>
      </c>
      <c r="L22" t="s">
        <v>19</v>
      </c>
      <c r="M22">
        <v>95.616</v>
      </c>
      <c r="N22">
        <v>2</v>
      </c>
      <c r="O22">
        <v>0.2</v>
      </c>
      <c r="P22">
        <v>9.5616000000000003</v>
      </c>
      <c r="Q22" s="1">
        <v>0.1</v>
      </c>
      <c r="R22" t="s">
        <v>4</v>
      </c>
      <c r="S22" t="s">
        <v>408</v>
      </c>
    </row>
    <row r="23" spans="1:19" x14ac:dyDescent="0.3">
      <c r="A23">
        <v>45</v>
      </c>
      <c r="B23" t="s">
        <v>446</v>
      </c>
      <c r="C23">
        <v>2016</v>
      </c>
      <c r="D23" t="s">
        <v>447</v>
      </c>
      <c r="E23" t="s">
        <v>13</v>
      </c>
      <c r="F23" t="s">
        <v>58</v>
      </c>
      <c r="G23" t="s">
        <v>59</v>
      </c>
      <c r="H23" t="s">
        <v>38</v>
      </c>
      <c r="I23" t="s">
        <v>448</v>
      </c>
      <c r="J23" t="s">
        <v>26</v>
      </c>
      <c r="K23" t="s">
        <v>50</v>
      </c>
      <c r="L23" t="s">
        <v>53</v>
      </c>
      <c r="M23">
        <v>45.98</v>
      </c>
      <c r="N23">
        <v>2</v>
      </c>
      <c r="O23">
        <v>0</v>
      </c>
      <c r="P23">
        <v>19.7714</v>
      </c>
      <c r="Q23" s="1">
        <v>0.43</v>
      </c>
      <c r="R23" t="s">
        <v>4</v>
      </c>
      <c r="S23" t="s">
        <v>394</v>
      </c>
    </row>
    <row r="24" spans="1:19" x14ac:dyDescent="0.3">
      <c r="A24">
        <v>47</v>
      </c>
      <c r="B24" t="s">
        <v>449</v>
      </c>
      <c r="C24">
        <v>2014</v>
      </c>
      <c r="D24" t="s">
        <v>399</v>
      </c>
      <c r="E24" t="s">
        <v>6</v>
      </c>
      <c r="F24" t="s">
        <v>60</v>
      </c>
      <c r="G24" t="s">
        <v>61</v>
      </c>
      <c r="H24" t="s">
        <v>38</v>
      </c>
      <c r="I24" t="s">
        <v>450</v>
      </c>
      <c r="J24" t="s">
        <v>17</v>
      </c>
      <c r="K24" t="s">
        <v>23</v>
      </c>
      <c r="L24" t="s">
        <v>5</v>
      </c>
      <c r="M24">
        <v>211.96</v>
      </c>
      <c r="N24">
        <v>4</v>
      </c>
      <c r="O24">
        <v>0</v>
      </c>
      <c r="P24">
        <v>8.4784000000000006</v>
      </c>
      <c r="Q24" s="1">
        <v>0.04</v>
      </c>
      <c r="R24" t="s">
        <v>4</v>
      </c>
      <c r="S24" t="s">
        <v>394</v>
      </c>
    </row>
    <row r="25" spans="1:19" x14ac:dyDescent="0.3">
      <c r="A25">
        <v>48</v>
      </c>
      <c r="B25" t="s">
        <v>451</v>
      </c>
      <c r="C25">
        <v>2016</v>
      </c>
      <c r="D25" t="s">
        <v>396</v>
      </c>
      <c r="E25" t="s">
        <v>6</v>
      </c>
      <c r="F25" t="s">
        <v>62</v>
      </c>
      <c r="G25" t="s">
        <v>63</v>
      </c>
      <c r="H25" t="s">
        <v>48</v>
      </c>
      <c r="I25" t="s">
        <v>452</v>
      </c>
      <c r="J25" t="s">
        <v>26</v>
      </c>
      <c r="K25" t="s">
        <v>50</v>
      </c>
      <c r="L25" t="s">
        <v>19</v>
      </c>
      <c r="M25">
        <v>45</v>
      </c>
      <c r="N25">
        <v>3</v>
      </c>
      <c r="O25">
        <v>0</v>
      </c>
      <c r="P25">
        <v>4.95</v>
      </c>
      <c r="Q25" s="1">
        <v>0.11</v>
      </c>
      <c r="R25" t="s">
        <v>4</v>
      </c>
      <c r="S25" t="s">
        <v>394</v>
      </c>
    </row>
    <row r="26" spans="1:19" x14ac:dyDescent="0.3">
      <c r="A26">
        <v>50</v>
      </c>
      <c r="B26" t="s">
        <v>453</v>
      </c>
      <c r="C26">
        <v>2015</v>
      </c>
      <c r="D26" t="s">
        <v>406</v>
      </c>
      <c r="E26" t="s">
        <v>6</v>
      </c>
      <c r="F26" t="s">
        <v>64</v>
      </c>
      <c r="G26" t="s">
        <v>65</v>
      </c>
      <c r="H26" t="s">
        <v>38</v>
      </c>
      <c r="I26" t="s">
        <v>454</v>
      </c>
      <c r="J26" t="s">
        <v>17</v>
      </c>
      <c r="K26" t="s">
        <v>28</v>
      </c>
      <c r="L26" t="s">
        <v>19</v>
      </c>
      <c r="M26">
        <v>38.22</v>
      </c>
      <c r="N26">
        <v>6</v>
      </c>
      <c r="O26">
        <v>0</v>
      </c>
      <c r="P26">
        <v>17.9634</v>
      </c>
      <c r="Q26" s="1">
        <v>0.47</v>
      </c>
      <c r="R26" t="s">
        <v>4</v>
      </c>
      <c r="S26" t="s">
        <v>394</v>
      </c>
    </row>
    <row r="27" spans="1:19" x14ac:dyDescent="0.3">
      <c r="A27">
        <v>54</v>
      </c>
      <c r="B27" t="s">
        <v>455</v>
      </c>
      <c r="C27">
        <v>2016</v>
      </c>
      <c r="D27" t="s">
        <v>410</v>
      </c>
      <c r="E27" t="s">
        <v>13</v>
      </c>
      <c r="F27" t="s">
        <v>66</v>
      </c>
      <c r="G27" t="s">
        <v>67</v>
      </c>
      <c r="H27" t="s">
        <v>48</v>
      </c>
      <c r="I27" t="s">
        <v>456</v>
      </c>
      <c r="J27" t="s">
        <v>17</v>
      </c>
      <c r="K27" t="s">
        <v>68</v>
      </c>
      <c r="L27" t="s">
        <v>19</v>
      </c>
      <c r="M27">
        <v>15.26</v>
      </c>
      <c r="N27">
        <v>7</v>
      </c>
      <c r="O27">
        <v>0</v>
      </c>
      <c r="P27">
        <v>6.2565999999999997</v>
      </c>
      <c r="Q27" s="1">
        <v>0.41</v>
      </c>
      <c r="R27" t="s">
        <v>4</v>
      </c>
      <c r="S27" t="s">
        <v>394</v>
      </c>
    </row>
    <row r="28" spans="1:19" x14ac:dyDescent="0.3">
      <c r="A28">
        <v>56</v>
      </c>
      <c r="B28" t="s">
        <v>457</v>
      </c>
      <c r="C28">
        <v>2016</v>
      </c>
      <c r="D28" t="s">
        <v>396</v>
      </c>
      <c r="E28" t="s">
        <v>6</v>
      </c>
      <c r="F28" t="s">
        <v>69</v>
      </c>
      <c r="G28" t="s">
        <v>67</v>
      </c>
      <c r="H28" t="s">
        <v>48</v>
      </c>
      <c r="I28" t="s">
        <v>458</v>
      </c>
      <c r="J28" t="s">
        <v>17</v>
      </c>
      <c r="K28" t="s">
        <v>23</v>
      </c>
      <c r="L28" t="s">
        <v>53</v>
      </c>
      <c r="M28">
        <v>208.56</v>
      </c>
      <c r="N28">
        <v>6</v>
      </c>
      <c r="O28">
        <v>0</v>
      </c>
      <c r="P28">
        <v>52.14</v>
      </c>
      <c r="Q28" s="1">
        <v>0.25</v>
      </c>
      <c r="R28" t="s">
        <v>4</v>
      </c>
      <c r="S28" t="s">
        <v>394</v>
      </c>
    </row>
    <row r="29" spans="1:19" x14ac:dyDescent="0.3">
      <c r="A29">
        <v>63</v>
      </c>
      <c r="B29" t="s">
        <v>459</v>
      </c>
      <c r="C29">
        <v>2015</v>
      </c>
      <c r="D29" t="s">
        <v>392</v>
      </c>
      <c r="E29" t="s">
        <v>6</v>
      </c>
      <c r="F29" t="s">
        <v>14</v>
      </c>
      <c r="G29" t="s">
        <v>15</v>
      </c>
      <c r="H29" t="s">
        <v>16</v>
      </c>
      <c r="I29" t="s">
        <v>460</v>
      </c>
      <c r="J29" t="s">
        <v>26</v>
      </c>
      <c r="K29" t="s">
        <v>50</v>
      </c>
      <c r="L29" t="s">
        <v>19</v>
      </c>
      <c r="M29">
        <v>13.98</v>
      </c>
      <c r="N29">
        <v>2</v>
      </c>
      <c r="O29">
        <v>0</v>
      </c>
      <c r="P29">
        <v>6.1512000000000002</v>
      </c>
      <c r="Q29" s="1">
        <v>0.44</v>
      </c>
      <c r="R29" t="s">
        <v>4</v>
      </c>
      <c r="S29" t="s">
        <v>394</v>
      </c>
    </row>
    <row r="30" spans="1:19" x14ac:dyDescent="0.3">
      <c r="A30">
        <v>67</v>
      </c>
      <c r="B30" t="s">
        <v>461</v>
      </c>
      <c r="C30">
        <v>2015</v>
      </c>
      <c r="D30" t="s">
        <v>406</v>
      </c>
      <c r="E30" t="s">
        <v>35</v>
      </c>
      <c r="F30" t="s">
        <v>70</v>
      </c>
      <c r="G30" t="s">
        <v>56</v>
      </c>
      <c r="H30" t="s">
        <v>38</v>
      </c>
      <c r="I30" t="s">
        <v>462</v>
      </c>
      <c r="J30" t="s">
        <v>10</v>
      </c>
      <c r="K30" t="s">
        <v>12</v>
      </c>
      <c r="L30" t="s">
        <v>19</v>
      </c>
      <c r="M30">
        <v>213.11500000000001</v>
      </c>
      <c r="N30">
        <v>5</v>
      </c>
      <c r="O30">
        <v>0.3</v>
      </c>
      <c r="P30">
        <v>-15.2225</v>
      </c>
      <c r="Q30" s="1">
        <v>-7.1428571428571397E-2</v>
      </c>
      <c r="R30" t="s">
        <v>401</v>
      </c>
      <c r="S30" t="s">
        <v>402</v>
      </c>
    </row>
    <row r="31" spans="1:19" x14ac:dyDescent="0.3">
      <c r="A31">
        <v>68</v>
      </c>
      <c r="B31" t="s">
        <v>463</v>
      </c>
      <c r="C31">
        <v>2014</v>
      </c>
      <c r="D31" t="s">
        <v>410</v>
      </c>
      <c r="E31" t="s">
        <v>13</v>
      </c>
      <c r="F31" t="s">
        <v>71</v>
      </c>
      <c r="G31" t="s">
        <v>72</v>
      </c>
      <c r="H31" t="s">
        <v>16</v>
      </c>
      <c r="I31" t="s">
        <v>464</v>
      </c>
      <c r="J31" t="s">
        <v>17</v>
      </c>
      <c r="K31" t="s">
        <v>25</v>
      </c>
      <c r="L31" t="s">
        <v>19</v>
      </c>
      <c r="M31">
        <v>1113.0239999999999</v>
      </c>
      <c r="N31">
        <v>8</v>
      </c>
      <c r="O31">
        <v>0.2</v>
      </c>
      <c r="P31">
        <v>111.30240000000001</v>
      </c>
      <c r="Q31" s="1">
        <v>0.1</v>
      </c>
      <c r="R31" t="s">
        <v>4</v>
      </c>
      <c r="S31" t="s">
        <v>408</v>
      </c>
    </row>
    <row r="32" spans="1:19" x14ac:dyDescent="0.3">
      <c r="A32">
        <v>70</v>
      </c>
      <c r="B32" t="s">
        <v>465</v>
      </c>
      <c r="C32">
        <v>2016</v>
      </c>
      <c r="D32" t="s">
        <v>396</v>
      </c>
      <c r="E32" t="s">
        <v>6</v>
      </c>
      <c r="F32" t="s">
        <v>73</v>
      </c>
      <c r="G32" t="s">
        <v>74</v>
      </c>
      <c r="H32" t="s">
        <v>9</v>
      </c>
      <c r="I32" t="s">
        <v>466</v>
      </c>
      <c r="J32" t="s">
        <v>17</v>
      </c>
      <c r="K32" t="s">
        <v>32</v>
      </c>
      <c r="L32" t="s">
        <v>53</v>
      </c>
      <c r="M32">
        <v>75.88</v>
      </c>
      <c r="N32">
        <v>2</v>
      </c>
      <c r="O32">
        <v>0</v>
      </c>
      <c r="P32">
        <v>35.663600000000002</v>
      </c>
      <c r="Q32" s="1">
        <v>0.47</v>
      </c>
      <c r="R32" t="s">
        <v>4</v>
      </c>
      <c r="S32" t="s">
        <v>394</v>
      </c>
    </row>
    <row r="33" spans="1:19" x14ac:dyDescent="0.3">
      <c r="A33">
        <v>71</v>
      </c>
      <c r="B33" t="s">
        <v>467</v>
      </c>
      <c r="C33">
        <v>2016</v>
      </c>
      <c r="D33" t="s">
        <v>428</v>
      </c>
      <c r="E33" t="s">
        <v>6</v>
      </c>
      <c r="F33" t="s">
        <v>66</v>
      </c>
      <c r="G33" t="s">
        <v>67</v>
      </c>
      <c r="H33" t="s">
        <v>48</v>
      </c>
      <c r="I33" t="s">
        <v>468</v>
      </c>
      <c r="J33" t="s">
        <v>17</v>
      </c>
      <c r="K33" t="s">
        <v>28</v>
      </c>
      <c r="L33" t="s">
        <v>19</v>
      </c>
      <c r="M33">
        <v>4.6159999999999997</v>
      </c>
      <c r="N33">
        <v>1</v>
      </c>
      <c r="O33">
        <v>0.2</v>
      </c>
      <c r="P33">
        <v>1.7310000000000001</v>
      </c>
      <c r="Q33" s="1">
        <v>0.375</v>
      </c>
      <c r="R33" t="s">
        <v>4</v>
      </c>
      <c r="S33" t="s">
        <v>408</v>
      </c>
    </row>
    <row r="34" spans="1:19" x14ac:dyDescent="0.3">
      <c r="A34">
        <v>72</v>
      </c>
      <c r="B34" t="s">
        <v>469</v>
      </c>
      <c r="C34">
        <v>2017</v>
      </c>
      <c r="D34" t="s">
        <v>428</v>
      </c>
      <c r="E34" t="s">
        <v>6</v>
      </c>
      <c r="F34" t="s">
        <v>75</v>
      </c>
      <c r="G34" t="s">
        <v>61</v>
      </c>
      <c r="H34" t="s">
        <v>38</v>
      </c>
      <c r="I34" t="s">
        <v>470</v>
      </c>
      <c r="J34" t="s">
        <v>17</v>
      </c>
      <c r="K34" t="s">
        <v>32</v>
      </c>
      <c r="L34" t="s">
        <v>5</v>
      </c>
      <c r="M34">
        <v>19.05</v>
      </c>
      <c r="N34">
        <v>3</v>
      </c>
      <c r="O34">
        <v>0</v>
      </c>
      <c r="P34">
        <v>8.7629999999999999</v>
      </c>
      <c r="Q34" s="1">
        <v>0.46</v>
      </c>
      <c r="R34" t="s">
        <v>4</v>
      </c>
      <c r="S34" t="s">
        <v>394</v>
      </c>
    </row>
    <row r="35" spans="1:19" x14ac:dyDescent="0.3">
      <c r="A35">
        <v>73</v>
      </c>
      <c r="B35" t="s">
        <v>471</v>
      </c>
      <c r="C35">
        <v>2015</v>
      </c>
      <c r="D35" t="s">
        <v>406</v>
      </c>
      <c r="E35" t="s">
        <v>6</v>
      </c>
      <c r="F35" t="s">
        <v>76</v>
      </c>
      <c r="G35" t="s">
        <v>77</v>
      </c>
      <c r="H35" t="s">
        <v>9</v>
      </c>
      <c r="I35" t="s">
        <v>472</v>
      </c>
      <c r="J35" t="s">
        <v>10</v>
      </c>
      <c r="K35" t="s">
        <v>12</v>
      </c>
      <c r="L35" t="s">
        <v>19</v>
      </c>
      <c r="M35">
        <v>831.93600000000004</v>
      </c>
      <c r="N35">
        <v>8</v>
      </c>
      <c r="O35">
        <v>0.2</v>
      </c>
      <c r="P35">
        <v>-114.3912</v>
      </c>
      <c r="Q35" s="1">
        <v>-0.13750000000000001</v>
      </c>
      <c r="R35" t="s">
        <v>401</v>
      </c>
      <c r="S35" t="s">
        <v>408</v>
      </c>
    </row>
    <row r="36" spans="1:19" x14ac:dyDescent="0.3">
      <c r="A36">
        <v>76</v>
      </c>
      <c r="B36" t="s">
        <v>473</v>
      </c>
      <c r="C36">
        <v>2017</v>
      </c>
      <c r="D36" t="s">
        <v>410</v>
      </c>
      <c r="E36" t="s">
        <v>13</v>
      </c>
      <c r="F36" t="s">
        <v>52</v>
      </c>
      <c r="G36" t="s">
        <v>37</v>
      </c>
      <c r="H36" t="s">
        <v>38</v>
      </c>
      <c r="I36" t="s">
        <v>474</v>
      </c>
      <c r="J36" t="s">
        <v>17</v>
      </c>
      <c r="K36" t="s">
        <v>28</v>
      </c>
      <c r="L36" t="s">
        <v>53</v>
      </c>
      <c r="M36">
        <v>1.248</v>
      </c>
      <c r="N36">
        <v>3</v>
      </c>
      <c r="O36">
        <v>0.8</v>
      </c>
      <c r="P36">
        <v>-1.9343999999999999</v>
      </c>
      <c r="Q36" s="1">
        <v>-1.55</v>
      </c>
      <c r="R36" t="s">
        <v>401</v>
      </c>
      <c r="S36" t="s">
        <v>402</v>
      </c>
    </row>
    <row r="37" spans="1:19" x14ac:dyDescent="0.3">
      <c r="A37">
        <v>79</v>
      </c>
      <c r="B37" t="s">
        <v>475</v>
      </c>
      <c r="C37">
        <v>2014</v>
      </c>
      <c r="D37" t="s">
        <v>392</v>
      </c>
      <c r="E37" t="s">
        <v>6</v>
      </c>
      <c r="F37" t="s">
        <v>52</v>
      </c>
      <c r="G37" t="s">
        <v>37</v>
      </c>
      <c r="H37" t="s">
        <v>38</v>
      </c>
      <c r="I37" t="s">
        <v>476</v>
      </c>
      <c r="J37" t="s">
        <v>10</v>
      </c>
      <c r="K37" t="s">
        <v>24</v>
      </c>
      <c r="L37" t="s">
        <v>5</v>
      </c>
      <c r="M37">
        <v>19.3</v>
      </c>
      <c r="N37">
        <v>5</v>
      </c>
      <c r="O37">
        <v>0.6</v>
      </c>
      <c r="P37">
        <v>-14.475</v>
      </c>
      <c r="Q37" s="1">
        <v>-0.75</v>
      </c>
      <c r="R37" t="s">
        <v>401</v>
      </c>
      <c r="S37" t="s">
        <v>402</v>
      </c>
    </row>
    <row r="38" spans="1:19" x14ac:dyDescent="0.3">
      <c r="A38">
        <v>82</v>
      </c>
      <c r="B38" t="s">
        <v>477</v>
      </c>
      <c r="C38">
        <v>2014</v>
      </c>
      <c r="D38" t="s">
        <v>399</v>
      </c>
      <c r="E38" t="s">
        <v>6</v>
      </c>
      <c r="F38" t="s">
        <v>43</v>
      </c>
      <c r="G38" t="s">
        <v>15</v>
      </c>
      <c r="H38" t="s">
        <v>16</v>
      </c>
      <c r="I38" t="s">
        <v>478</v>
      </c>
      <c r="J38" t="s">
        <v>17</v>
      </c>
      <c r="K38" t="s">
        <v>25</v>
      </c>
      <c r="L38" t="s">
        <v>19</v>
      </c>
      <c r="M38">
        <v>14.9</v>
      </c>
      <c r="N38">
        <v>5</v>
      </c>
      <c r="O38">
        <v>0</v>
      </c>
      <c r="P38">
        <v>4.1719999999999997</v>
      </c>
      <c r="Q38" s="1">
        <v>0.28000000000000003</v>
      </c>
      <c r="R38" t="s">
        <v>4</v>
      </c>
      <c r="S38" t="s">
        <v>394</v>
      </c>
    </row>
    <row r="39" spans="1:19" x14ac:dyDescent="0.3">
      <c r="A39">
        <v>84</v>
      </c>
      <c r="B39" t="s">
        <v>479</v>
      </c>
      <c r="C39">
        <v>2015</v>
      </c>
      <c r="D39" t="s">
        <v>428</v>
      </c>
      <c r="E39" t="s">
        <v>13</v>
      </c>
      <c r="F39" t="s">
        <v>80</v>
      </c>
      <c r="G39" t="s">
        <v>31</v>
      </c>
      <c r="H39" t="s">
        <v>9</v>
      </c>
      <c r="I39" t="s">
        <v>480</v>
      </c>
      <c r="J39" t="s">
        <v>17</v>
      </c>
      <c r="K39" t="s">
        <v>51</v>
      </c>
      <c r="L39" t="s">
        <v>19</v>
      </c>
      <c r="M39">
        <v>200.98400000000001</v>
      </c>
      <c r="N39">
        <v>7</v>
      </c>
      <c r="O39">
        <v>0.2</v>
      </c>
      <c r="P39">
        <v>62.807499999999997</v>
      </c>
      <c r="Q39" s="1">
        <v>0.3125</v>
      </c>
      <c r="R39" t="s">
        <v>4</v>
      </c>
      <c r="S39" t="s">
        <v>408</v>
      </c>
    </row>
    <row r="40" spans="1:19" x14ac:dyDescent="0.3">
      <c r="A40">
        <v>85</v>
      </c>
      <c r="B40" t="s">
        <v>481</v>
      </c>
      <c r="C40">
        <v>2017</v>
      </c>
      <c r="D40" t="s">
        <v>392</v>
      </c>
      <c r="E40" t="s">
        <v>35</v>
      </c>
      <c r="F40" t="s">
        <v>70</v>
      </c>
      <c r="G40" t="s">
        <v>56</v>
      </c>
      <c r="H40" t="s">
        <v>38</v>
      </c>
      <c r="I40" t="s">
        <v>482</v>
      </c>
      <c r="J40" t="s">
        <v>17</v>
      </c>
      <c r="K40" t="s">
        <v>23</v>
      </c>
      <c r="L40" t="s">
        <v>53</v>
      </c>
      <c r="M40">
        <v>230.376</v>
      </c>
      <c r="N40">
        <v>3</v>
      </c>
      <c r="O40">
        <v>0.2</v>
      </c>
      <c r="P40">
        <v>-48.954900000000002</v>
      </c>
      <c r="Q40" s="1">
        <v>-0.21249999999999999</v>
      </c>
      <c r="R40" t="s">
        <v>401</v>
      </c>
      <c r="S40" t="s">
        <v>408</v>
      </c>
    </row>
    <row r="41" spans="1:19" x14ac:dyDescent="0.3">
      <c r="A41">
        <v>86</v>
      </c>
      <c r="B41" t="s">
        <v>483</v>
      </c>
      <c r="C41">
        <v>2017</v>
      </c>
      <c r="D41" t="s">
        <v>417</v>
      </c>
      <c r="E41" t="s">
        <v>6</v>
      </c>
      <c r="F41" t="s">
        <v>81</v>
      </c>
      <c r="G41" t="s">
        <v>82</v>
      </c>
      <c r="H41" t="s">
        <v>9</v>
      </c>
      <c r="I41" t="s">
        <v>484</v>
      </c>
      <c r="J41" t="s">
        <v>10</v>
      </c>
      <c r="K41" t="s">
        <v>12</v>
      </c>
      <c r="L41" t="s">
        <v>5</v>
      </c>
      <c r="M41">
        <v>301.95999999999998</v>
      </c>
      <c r="N41">
        <v>2</v>
      </c>
      <c r="O41">
        <v>0</v>
      </c>
      <c r="P41">
        <v>33.215600000000002</v>
      </c>
      <c r="Q41" s="1">
        <v>0.11</v>
      </c>
      <c r="R41" t="s">
        <v>4</v>
      </c>
      <c r="S41" t="s">
        <v>394</v>
      </c>
    </row>
    <row r="42" spans="1:19" x14ac:dyDescent="0.3">
      <c r="A42">
        <v>87</v>
      </c>
      <c r="B42" t="s">
        <v>485</v>
      </c>
      <c r="C42">
        <v>2017</v>
      </c>
      <c r="D42" t="s">
        <v>399</v>
      </c>
      <c r="E42" t="s">
        <v>6</v>
      </c>
      <c r="F42" t="s">
        <v>83</v>
      </c>
      <c r="G42" t="s">
        <v>59</v>
      </c>
      <c r="H42" t="s">
        <v>38</v>
      </c>
      <c r="I42" t="s">
        <v>486</v>
      </c>
      <c r="J42" t="s">
        <v>26</v>
      </c>
      <c r="K42" t="s">
        <v>50</v>
      </c>
      <c r="L42" t="s">
        <v>19</v>
      </c>
      <c r="M42">
        <v>19.989999999999998</v>
      </c>
      <c r="N42">
        <v>1</v>
      </c>
      <c r="O42">
        <v>0</v>
      </c>
      <c r="P42">
        <v>6.7965999999999998</v>
      </c>
      <c r="Q42" s="1">
        <v>0.34</v>
      </c>
      <c r="R42" t="s">
        <v>4</v>
      </c>
      <c r="S42" t="s">
        <v>394</v>
      </c>
    </row>
    <row r="43" spans="1:19" x14ac:dyDescent="0.3">
      <c r="A43">
        <v>89</v>
      </c>
      <c r="B43" t="s">
        <v>487</v>
      </c>
      <c r="C43">
        <v>2016</v>
      </c>
      <c r="D43" t="s">
        <v>406</v>
      </c>
      <c r="E43" t="s">
        <v>35</v>
      </c>
      <c r="F43" t="s">
        <v>52</v>
      </c>
      <c r="G43" t="s">
        <v>37</v>
      </c>
      <c r="H43" t="s">
        <v>38</v>
      </c>
      <c r="I43" t="s">
        <v>488</v>
      </c>
      <c r="J43" t="s">
        <v>17</v>
      </c>
      <c r="K43" t="s">
        <v>23</v>
      </c>
      <c r="L43" t="s">
        <v>5</v>
      </c>
      <c r="M43">
        <v>158.36799999999999</v>
      </c>
      <c r="N43">
        <v>7</v>
      </c>
      <c r="O43">
        <v>0.2</v>
      </c>
      <c r="P43">
        <v>13.857200000000001</v>
      </c>
      <c r="Q43" s="1">
        <v>8.7499999999999994E-2</v>
      </c>
      <c r="R43" t="s">
        <v>4</v>
      </c>
      <c r="S43" t="s">
        <v>408</v>
      </c>
    </row>
    <row r="44" spans="1:19" x14ac:dyDescent="0.3">
      <c r="A44">
        <v>90</v>
      </c>
      <c r="B44" t="s">
        <v>489</v>
      </c>
      <c r="C44">
        <v>2016</v>
      </c>
      <c r="D44" t="s">
        <v>428</v>
      </c>
      <c r="E44" t="s">
        <v>13</v>
      </c>
      <c r="F44" t="s">
        <v>14</v>
      </c>
      <c r="G44" t="s">
        <v>15</v>
      </c>
      <c r="H44" t="s">
        <v>16</v>
      </c>
      <c r="I44" t="s">
        <v>490</v>
      </c>
      <c r="J44" t="s">
        <v>17</v>
      </c>
      <c r="K44" t="s">
        <v>25</v>
      </c>
      <c r="L44" t="s">
        <v>19</v>
      </c>
      <c r="M44">
        <v>20.100000000000001</v>
      </c>
      <c r="N44">
        <v>3</v>
      </c>
      <c r="O44">
        <v>0</v>
      </c>
      <c r="P44">
        <v>6.633</v>
      </c>
      <c r="Q44" s="1">
        <v>0.33</v>
      </c>
      <c r="R44" t="s">
        <v>4</v>
      </c>
      <c r="S44" t="s">
        <v>394</v>
      </c>
    </row>
    <row r="45" spans="1:19" x14ac:dyDescent="0.3">
      <c r="A45">
        <v>93</v>
      </c>
      <c r="B45" t="s">
        <v>491</v>
      </c>
      <c r="C45">
        <v>2015</v>
      </c>
      <c r="D45" t="s">
        <v>430</v>
      </c>
      <c r="E45" t="s">
        <v>6</v>
      </c>
      <c r="F45" t="s">
        <v>84</v>
      </c>
      <c r="G45" t="s">
        <v>59</v>
      </c>
      <c r="H45" t="s">
        <v>38</v>
      </c>
      <c r="I45" t="s">
        <v>492</v>
      </c>
      <c r="J45" t="s">
        <v>17</v>
      </c>
      <c r="K45" t="s">
        <v>32</v>
      </c>
      <c r="L45" t="s">
        <v>5</v>
      </c>
      <c r="M45">
        <v>12.96</v>
      </c>
      <c r="N45">
        <v>2</v>
      </c>
      <c r="O45">
        <v>0</v>
      </c>
      <c r="P45">
        <v>6.2207999999999997</v>
      </c>
      <c r="Q45" s="1">
        <v>0.48</v>
      </c>
      <c r="R45" t="s">
        <v>4</v>
      </c>
      <c r="S45" t="s">
        <v>394</v>
      </c>
    </row>
    <row r="46" spans="1:19" x14ac:dyDescent="0.3">
      <c r="A46">
        <v>96</v>
      </c>
      <c r="B46" t="s">
        <v>493</v>
      </c>
      <c r="C46">
        <v>2017</v>
      </c>
      <c r="D46" t="s">
        <v>392</v>
      </c>
      <c r="E46" t="s">
        <v>35</v>
      </c>
      <c r="F46" t="s">
        <v>85</v>
      </c>
      <c r="G46" t="s">
        <v>86</v>
      </c>
      <c r="H46" t="s">
        <v>16</v>
      </c>
      <c r="I46" t="s">
        <v>494</v>
      </c>
      <c r="J46" t="s">
        <v>17</v>
      </c>
      <c r="K46" t="s">
        <v>28</v>
      </c>
      <c r="L46" t="s">
        <v>19</v>
      </c>
      <c r="M46">
        <v>5.6820000000000004</v>
      </c>
      <c r="N46">
        <v>1</v>
      </c>
      <c r="O46">
        <v>0.7</v>
      </c>
      <c r="P46">
        <v>-3.7879999999999998</v>
      </c>
      <c r="Q46" s="1">
        <v>-0.66666666666666696</v>
      </c>
      <c r="R46" t="s">
        <v>401</v>
      </c>
      <c r="S46" t="s">
        <v>402</v>
      </c>
    </row>
    <row r="47" spans="1:19" x14ac:dyDescent="0.3">
      <c r="A47">
        <v>97</v>
      </c>
      <c r="B47" t="s">
        <v>495</v>
      </c>
      <c r="C47">
        <v>2017</v>
      </c>
      <c r="D47" t="s">
        <v>392</v>
      </c>
      <c r="E47" t="s">
        <v>35</v>
      </c>
      <c r="F47" t="s">
        <v>66</v>
      </c>
      <c r="G47" t="s">
        <v>67</v>
      </c>
      <c r="H47" t="s">
        <v>48</v>
      </c>
      <c r="I47" t="s">
        <v>496</v>
      </c>
      <c r="J47" t="s">
        <v>10</v>
      </c>
      <c r="K47" t="s">
        <v>24</v>
      </c>
      <c r="L47" t="s">
        <v>5</v>
      </c>
      <c r="M47">
        <v>96.53</v>
      </c>
      <c r="N47">
        <v>7</v>
      </c>
      <c r="O47">
        <v>0</v>
      </c>
      <c r="P47">
        <v>40.5426</v>
      </c>
      <c r="Q47" s="1">
        <v>0.42</v>
      </c>
      <c r="R47" t="s">
        <v>4</v>
      </c>
      <c r="S47" t="s">
        <v>394</v>
      </c>
    </row>
    <row r="48" spans="1:19" x14ac:dyDescent="0.3">
      <c r="A48">
        <v>98</v>
      </c>
      <c r="B48" t="s">
        <v>497</v>
      </c>
      <c r="C48">
        <v>2017</v>
      </c>
      <c r="D48" t="s">
        <v>396</v>
      </c>
      <c r="E48" t="s">
        <v>6</v>
      </c>
      <c r="F48" t="s">
        <v>43</v>
      </c>
      <c r="G48" t="s">
        <v>15</v>
      </c>
      <c r="H48" t="s">
        <v>16</v>
      </c>
      <c r="I48" t="s">
        <v>498</v>
      </c>
      <c r="J48" t="s">
        <v>17</v>
      </c>
      <c r="K48" t="s">
        <v>28</v>
      </c>
      <c r="L48" t="s">
        <v>53</v>
      </c>
      <c r="M48">
        <v>51.311999999999998</v>
      </c>
      <c r="N48">
        <v>3</v>
      </c>
      <c r="O48">
        <v>0.2</v>
      </c>
      <c r="P48">
        <v>17.959199999999999</v>
      </c>
      <c r="Q48" s="1">
        <v>0.35</v>
      </c>
      <c r="R48" t="s">
        <v>4</v>
      </c>
      <c r="S48" t="s">
        <v>408</v>
      </c>
    </row>
    <row r="49" spans="1:19" x14ac:dyDescent="0.3">
      <c r="A49">
        <v>99</v>
      </c>
      <c r="B49" t="s">
        <v>499</v>
      </c>
      <c r="C49">
        <v>2016</v>
      </c>
      <c r="D49" t="s">
        <v>428</v>
      </c>
      <c r="E49" t="s">
        <v>13</v>
      </c>
      <c r="F49" t="s">
        <v>87</v>
      </c>
      <c r="G49" t="s">
        <v>59</v>
      </c>
      <c r="H49" t="s">
        <v>38</v>
      </c>
      <c r="I49" t="s">
        <v>500</v>
      </c>
      <c r="J49" t="s">
        <v>17</v>
      </c>
      <c r="K49" t="s">
        <v>29</v>
      </c>
      <c r="L49" t="s">
        <v>19</v>
      </c>
      <c r="M49">
        <v>77.88</v>
      </c>
      <c r="N49">
        <v>6</v>
      </c>
      <c r="O49">
        <v>0</v>
      </c>
      <c r="P49">
        <v>22.5852</v>
      </c>
      <c r="Q49" s="1">
        <v>0.28999999999999998</v>
      </c>
      <c r="R49" t="s">
        <v>4</v>
      </c>
      <c r="S49" t="s">
        <v>394</v>
      </c>
    </row>
    <row r="50" spans="1:19" x14ac:dyDescent="0.3">
      <c r="A50">
        <v>100</v>
      </c>
      <c r="B50" t="s">
        <v>501</v>
      </c>
      <c r="C50">
        <v>2016</v>
      </c>
      <c r="D50" t="s">
        <v>420</v>
      </c>
      <c r="E50" t="s">
        <v>35</v>
      </c>
      <c r="F50" t="s">
        <v>70</v>
      </c>
      <c r="G50" t="s">
        <v>56</v>
      </c>
      <c r="H50" t="s">
        <v>38</v>
      </c>
      <c r="I50" t="s">
        <v>502</v>
      </c>
      <c r="J50" t="s">
        <v>17</v>
      </c>
      <c r="K50" t="s">
        <v>32</v>
      </c>
      <c r="L50" t="s">
        <v>19</v>
      </c>
      <c r="M50">
        <v>64.623999999999995</v>
      </c>
      <c r="N50">
        <v>7</v>
      </c>
      <c r="O50">
        <v>0.2</v>
      </c>
      <c r="P50">
        <v>22.618400000000001</v>
      </c>
      <c r="Q50" s="1">
        <v>0.35</v>
      </c>
      <c r="R50" t="s">
        <v>4</v>
      </c>
      <c r="S50" t="s">
        <v>408</v>
      </c>
    </row>
    <row r="51" spans="1:19" x14ac:dyDescent="0.3">
      <c r="A51">
        <v>103</v>
      </c>
      <c r="B51" t="s">
        <v>503</v>
      </c>
      <c r="C51">
        <v>2016</v>
      </c>
      <c r="D51" t="s">
        <v>410</v>
      </c>
      <c r="E51" t="s">
        <v>6</v>
      </c>
      <c r="F51" t="s">
        <v>83</v>
      </c>
      <c r="G51" t="s">
        <v>59</v>
      </c>
      <c r="H51" t="s">
        <v>38</v>
      </c>
      <c r="I51" t="s">
        <v>504</v>
      </c>
      <c r="J51" t="s">
        <v>17</v>
      </c>
      <c r="K51" t="s">
        <v>32</v>
      </c>
      <c r="L51" t="s">
        <v>5</v>
      </c>
      <c r="M51">
        <v>23.92</v>
      </c>
      <c r="N51">
        <v>4</v>
      </c>
      <c r="O51">
        <v>0</v>
      </c>
      <c r="P51">
        <v>11.720800000000001</v>
      </c>
      <c r="Q51" s="1">
        <v>0.49</v>
      </c>
      <c r="R51" t="s">
        <v>4</v>
      </c>
      <c r="S51" t="s">
        <v>394</v>
      </c>
    </row>
    <row r="52" spans="1:19" x14ac:dyDescent="0.3">
      <c r="A52">
        <v>104</v>
      </c>
      <c r="B52" t="s">
        <v>505</v>
      </c>
      <c r="C52">
        <v>2015</v>
      </c>
      <c r="D52" t="s">
        <v>392</v>
      </c>
      <c r="E52" t="s">
        <v>6</v>
      </c>
      <c r="F52" t="s">
        <v>88</v>
      </c>
      <c r="G52" t="s">
        <v>89</v>
      </c>
      <c r="H52" t="s">
        <v>16</v>
      </c>
      <c r="I52" t="s">
        <v>506</v>
      </c>
      <c r="J52" t="s">
        <v>26</v>
      </c>
      <c r="K52" t="s">
        <v>50</v>
      </c>
      <c r="L52" t="s">
        <v>19</v>
      </c>
      <c r="M52">
        <v>238.89599999999999</v>
      </c>
      <c r="N52">
        <v>6</v>
      </c>
      <c r="O52">
        <v>0.2</v>
      </c>
      <c r="P52">
        <v>-26.875800000000002</v>
      </c>
      <c r="Q52" s="1">
        <v>-0.1125</v>
      </c>
      <c r="R52" t="s">
        <v>401</v>
      </c>
      <c r="S52" t="s">
        <v>408</v>
      </c>
    </row>
    <row r="53" spans="1:19" x14ac:dyDescent="0.3">
      <c r="A53">
        <v>107</v>
      </c>
      <c r="B53" t="s">
        <v>507</v>
      </c>
      <c r="C53">
        <v>2017</v>
      </c>
      <c r="D53" t="s">
        <v>392</v>
      </c>
      <c r="E53" t="s">
        <v>6</v>
      </c>
      <c r="F53" t="s">
        <v>90</v>
      </c>
      <c r="G53" t="s">
        <v>31</v>
      </c>
      <c r="H53" t="s">
        <v>9</v>
      </c>
      <c r="I53" t="s">
        <v>508</v>
      </c>
      <c r="J53" t="s">
        <v>26</v>
      </c>
      <c r="K53" t="s">
        <v>50</v>
      </c>
      <c r="L53" t="s">
        <v>19</v>
      </c>
      <c r="M53">
        <v>74.111999999999995</v>
      </c>
      <c r="N53">
        <v>8</v>
      </c>
      <c r="O53">
        <v>0.2</v>
      </c>
      <c r="P53">
        <v>17.601600000000001</v>
      </c>
      <c r="Q53" s="1">
        <v>0.23749999999999999</v>
      </c>
      <c r="R53" t="s">
        <v>4</v>
      </c>
      <c r="S53" t="s">
        <v>408</v>
      </c>
    </row>
    <row r="54" spans="1:19" x14ac:dyDescent="0.3">
      <c r="A54">
        <v>110</v>
      </c>
      <c r="B54" t="s">
        <v>509</v>
      </c>
      <c r="C54">
        <v>2015</v>
      </c>
      <c r="D54" t="s">
        <v>399</v>
      </c>
      <c r="E54" t="s">
        <v>35</v>
      </c>
      <c r="F54" t="s">
        <v>91</v>
      </c>
      <c r="G54" t="s">
        <v>56</v>
      </c>
      <c r="H54" t="s">
        <v>38</v>
      </c>
      <c r="I54" t="s">
        <v>510</v>
      </c>
      <c r="J54" t="s">
        <v>26</v>
      </c>
      <c r="K54" t="s">
        <v>50</v>
      </c>
      <c r="L54" t="s">
        <v>19</v>
      </c>
      <c r="M54">
        <v>339.96</v>
      </c>
      <c r="N54">
        <v>5</v>
      </c>
      <c r="O54">
        <v>0.2</v>
      </c>
      <c r="P54">
        <v>67.992000000000004</v>
      </c>
      <c r="Q54" s="1">
        <v>0.2</v>
      </c>
      <c r="R54" t="s">
        <v>4</v>
      </c>
      <c r="S54" t="s">
        <v>408</v>
      </c>
    </row>
    <row r="55" spans="1:19" x14ac:dyDescent="0.3">
      <c r="A55">
        <v>111</v>
      </c>
      <c r="B55" t="s">
        <v>511</v>
      </c>
      <c r="C55">
        <v>2017</v>
      </c>
      <c r="D55" t="s">
        <v>410</v>
      </c>
      <c r="E55" t="s">
        <v>13</v>
      </c>
      <c r="F55" t="s">
        <v>66</v>
      </c>
      <c r="G55" t="s">
        <v>67</v>
      </c>
      <c r="H55" t="s">
        <v>48</v>
      </c>
      <c r="I55" t="s">
        <v>512</v>
      </c>
      <c r="J55" t="s">
        <v>10</v>
      </c>
      <c r="K55" t="s">
        <v>24</v>
      </c>
      <c r="L55" t="s">
        <v>19</v>
      </c>
      <c r="M55">
        <v>41.96</v>
      </c>
      <c r="N55">
        <v>2</v>
      </c>
      <c r="O55">
        <v>0</v>
      </c>
      <c r="P55">
        <v>10.909599999999999</v>
      </c>
      <c r="Q55" s="1">
        <v>0.26</v>
      </c>
      <c r="R55" t="s">
        <v>4</v>
      </c>
      <c r="S55" t="s">
        <v>394</v>
      </c>
    </row>
    <row r="56" spans="1:19" x14ac:dyDescent="0.3">
      <c r="A56">
        <v>112</v>
      </c>
      <c r="B56" t="s">
        <v>513</v>
      </c>
      <c r="C56">
        <v>2016</v>
      </c>
      <c r="D56" t="s">
        <v>392</v>
      </c>
      <c r="E56" t="s">
        <v>6</v>
      </c>
      <c r="F56" t="s">
        <v>92</v>
      </c>
      <c r="G56" t="s">
        <v>93</v>
      </c>
      <c r="H56" t="s">
        <v>38</v>
      </c>
      <c r="I56" t="s">
        <v>514</v>
      </c>
      <c r="J56" t="s">
        <v>17</v>
      </c>
      <c r="K56" t="s">
        <v>25</v>
      </c>
      <c r="L56" t="s">
        <v>19</v>
      </c>
      <c r="M56">
        <v>75.959999999999994</v>
      </c>
      <c r="N56">
        <v>2</v>
      </c>
      <c r="O56">
        <v>0</v>
      </c>
      <c r="P56">
        <v>22.788</v>
      </c>
      <c r="Q56" s="1">
        <v>0.3</v>
      </c>
      <c r="R56" t="s">
        <v>4</v>
      </c>
      <c r="S56" t="s">
        <v>394</v>
      </c>
    </row>
    <row r="57" spans="1:19" x14ac:dyDescent="0.3">
      <c r="A57">
        <v>114</v>
      </c>
      <c r="B57" t="s">
        <v>515</v>
      </c>
      <c r="C57">
        <v>2014</v>
      </c>
      <c r="D57" t="s">
        <v>420</v>
      </c>
      <c r="E57" t="s">
        <v>6</v>
      </c>
      <c r="F57" t="s">
        <v>94</v>
      </c>
      <c r="G57" t="s">
        <v>95</v>
      </c>
      <c r="H57" t="s">
        <v>48</v>
      </c>
      <c r="I57" t="s">
        <v>516</v>
      </c>
      <c r="J57" t="s">
        <v>17</v>
      </c>
      <c r="K57" t="s">
        <v>68</v>
      </c>
      <c r="L57" t="s">
        <v>5</v>
      </c>
      <c r="M57">
        <v>40.095999999999997</v>
      </c>
      <c r="N57">
        <v>14</v>
      </c>
      <c r="O57">
        <v>0.2</v>
      </c>
      <c r="P57">
        <v>14.534800000000001</v>
      </c>
      <c r="Q57" s="1">
        <v>0.36249999999999999</v>
      </c>
      <c r="R57" t="s">
        <v>4</v>
      </c>
      <c r="S57" t="s">
        <v>408</v>
      </c>
    </row>
    <row r="58" spans="1:19" x14ac:dyDescent="0.3">
      <c r="A58">
        <v>118</v>
      </c>
      <c r="B58" t="s">
        <v>517</v>
      </c>
      <c r="C58">
        <v>2015</v>
      </c>
      <c r="D58" t="s">
        <v>447</v>
      </c>
      <c r="E58" t="s">
        <v>6</v>
      </c>
      <c r="F58" t="s">
        <v>33</v>
      </c>
      <c r="G58" t="s">
        <v>34</v>
      </c>
      <c r="H58" t="s">
        <v>16</v>
      </c>
      <c r="I58" t="s">
        <v>518</v>
      </c>
      <c r="J58" t="s">
        <v>10</v>
      </c>
      <c r="K58" t="s">
        <v>22</v>
      </c>
      <c r="L58" t="s">
        <v>19</v>
      </c>
      <c r="M58">
        <v>787.53</v>
      </c>
      <c r="N58">
        <v>3</v>
      </c>
      <c r="O58">
        <v>0</v>
      </c>
      <c r="P58">
        <v>165.38130000000001</v>
      </c>
      <c r="Q58" s="1">
        <v>0.21</v>
      </c>
      <c r="R58" t="s">
        <v>4</v>
      </c>
      <c r="S58" t="s">
        <v>394</v>
      </c>
    </row>
    <row r="59" spans="1:19" x14ac:dyDescent="0.3">
      <c r="A59">
        <v>119</v>
      </c>
      <c r="B59" t="s">
        <v>519</v>
      </c>
      <c r="C59">
        <v>2015</v>
      </c>
      <c r="D59" t="s">
        <v>406</v>
      </c>
      <c r="E59" t="s">
        <v>13</v>
      </c>
      <c r="F59" t="s">
        <v>96</v>
      </c>
      <c r="G59" t="s">
        <v>77</v>
      </c>
      <c r="H59" t="s">
        <v>9</v>
      </c>
      <c r="I59" t="s">
        <v>520</v>
      </c>
      <c r="J59" t="s">
        <v>17</v>
      </c>
      <c r="K59" t="s">
        <v>28</v>
      </c>
      <c r="L59" t="s">
        <v>19</v>
      </c>
      <c r="M59">
        <v>157.79400000000001</v>
      </c>
      <c r="N59">
        <v>1</v>
      </c>
      <c r="O59">
        <v>0.7</v>
      </c>
      <c r="P59">
        <v>-115.71559999999999</v>
      </c>
      <c r="Q59" s="1">
        <v>-0.73333333333333295</v>
      </c>
      <c r="R59" t="s">
        <v>401</v>
      </c>
      <c r="S59" t="s">
        <v>402</v>
      </c>
    </row>
    <row r="60" spans="1:19" x14ac:dyDescent="0.3">
      <c r="A60">
        <v>125</v>
      </c>
      <c r="B60" t="s">
        <v>521</v>
      </c>
      <c r="C60">
        <v>2014</v>
      </c>
      <c r="D60" t="s">
        <v>410</v>
      </c>
      <c r="E60" t="s">
        <v>35</v>
      </c>
      <c r="F60" t="s">
        <v>52</v>
      </c>
      <c r="G60" t="s">
        <v>37</v>
      </c>
      <c r="H60" t="s">
        <v>38</v>
      </c>
      <c r="I60" t="s">
        <v>522</v>
      </c>
      <c r="J60" t="s">
        <v>10</v>
      </c>
      <c r="K60" t="s">
        <v>12</v>
      </c>
      <c r="L60" t="s">
        <v>5</v>
      </c>
      <c r="M60">
        <v>600.55799999999999</v>
      </c>
      <c r="N60">
        <v>3</v>
      </c>
      <c r="O60">
        <v>0.3</v>
      </c>
      <c r="P60">
        <v>-8.5793999999999997</v>
      </c>
      <c r="Q60" s="1">
        <v>-1.4285714285714299E-2</v>
      </c>
      <c r="R60" t="s">
        <v>401</v>
      </c>
      <c r="S60" t="s">
        <v>402</v>
      </c>
    </row>
    <row r="61" spans="1:19" x14ac:dyDescent="0.3">
      <c r="A61">
        <v>126</v>
      </c>
      <c r="B61" t="s">
        <v>523</v>
      </c>
      <c r="C61">
        <v>2014</v>
      </c>
      <c r="D61" t="s">
        <v>428</v>
      </c>
      <c r="E61" t="s">
        <v>6</v>
      </c>
      <c r="F61" t="s">
        <v>98</v>
      </c>
      <c r="G61" t="s">
        <v>56</v>
      </c>
      <c r="H61" t="s">
        <v>38</v>
      </c>
      <c r="I61" t="s">
        <v>524</v>
      </c>
      <c r="J61" t="s">
        <v>10</v>
      </c>
      <c r="K61" t="s">
        <v>22</v>
      </c>
      <c r="L61" t="s">
        <v>19</v>
      </c>
      <c r="M61">
        <v>617.70000000000005</v>
      </c>
      <c r="N61">
        <v>6</v>
      </c>
      <c r="O61">
        <v>0.5</v>
      </c>
      <c r="P61">
        <v>-407.68200000000002</v>
      </c>
      <c r="Q61" s="1">
        <v>-0.66</v>
      </c>
      <c r="R61" t="s">
        <v>401</v>
      </c>
      <c r="S61" t="s">
        <v>402</v>
      </c>
    </row>
    <row r="62" spans="1:19" x14ac:dyDescent="0.3">
      <c r="A62">
        <v>127</v>
      </c>
      <c r="B62" t="s">
        <v>525</v>
      </c>
      <c r="C62">
        <v>2017</v>
      </c>
      <c r="D62" t="s">
        <v>392</v>
      </c>
      <c r="E62" t="s">
        <v>6</v>
      </c>
      <c r="F62" t="s">
        <v>99</v>
      </c>
      <c r="G62" t="s">
        <v>72</v>
      </c>
      <c r="H62" t="s">
        <v>16</v>
      </c>
      <c r="I62" t="s">
        <v>526</v>
      </c>
      <c r="J62" t="s">
        <v>17</v>
      </c>
      <c r="K62" t="s">
        <v>28</v>
      </c>
      <c r="L62" t="s">
        <v>19</v>
      </c>
      <c r="M62">
        <v>2.3879999999999999</v>
      </c>
      <c r="N62">
        <v>2</v>
      </c>
      <c r="O62">
        <v>0.7</v>
      </c>
      <c r="P62">
        <v>-1.8308</v>
      </c>
      <c r="Q62" s="1">
        <v>-0.76666666666666705</v>
      </c>
      <c r="R62" t="s">
        <v>401</v>
      </c>
      <c r="S62" t="s">
        <v>402</v>
      </c>
    </row>
    <row r="63" spans="1:19" x14ac:dyDescent="0.3">
      <c r="A63">
        <v>129</v>
      </c>
      <c r="B63" t="s">
        <v>527</v>
      </c>
      <c r="C63">
        <v>2016</v>
      </c>
      <c r="D63" t="s">
        <v>392</v>
      </c>
      <c r="E63" t="s">
        <v>35</v>
      </c>
      <c r="F63" t="s">
        <v>14</v>
      </c>
      <c r="G63" t="s">
        <v>15</v>
      </c>
      <c r="H63" t="s">
        <v>16</v>
      </c>
      <c r="I63" t="s">
        <v>462</v>
      </c>
      <c r="J63" t="s">
        <v>10</v>
      </c>
      <c r="K63" t="s">
        <v>12</v>
      </c>
      <c r="L63" t="s">
        <v>5</v>
      </c>
      <c r="M63">
        <v>81.424000000000007</v>
      </c>
      <c r="N63">
        <v>2</v>
      </c>
      <c r="O63">
        <v>0.2</v>
      </c>
      <c r="P63">
        <v>-9.1601999999999997</v>
      </c>
      <c r="Q63" s="1">
        <v>-0.1125</v>
      </c>
      <c r="R63" t="s">
        <v>401</v>
      </c>
      <c r="S63" t="s">
        <v>408</v>
      </c>
    </row>
    <row r="64" spans="1:19" x14ac:dyDescent="0.3">
      <c r="A64">
        <v>131</v>
      </c>
      <c r="B64" t="s">
        <v>528</v>
      </c>
      <c r="C64">
        <v>2017</v>
      </c>
      <c r="D64" t="s">
        <v>529</v>
      </c>
      <c r="E64" t="s">
        <v>13</v>
      </c>
      <c r="F64" t="s">
        <v>94</v>
      </c>
      <c r="G64" t="s">
        <v>95</v>
      </c>
      <c r="H64" t="s">
        <v>48</v>
      </c>
      <c r="I64" t="s">
        <v>530</v>
      </c>
      <c r="J64" t="s">
        <v>26</v>
      </c>
      <c r="K64" t="s">
        <v>27</v>
      </c>
      <c r="L64" t="s">
        <v>53</v>
      </c>
      <c r="M64">
        <v>59.97</v>
      </c>
      <c r="N64">
        <v>5</v>
      </c>
      <c r="O64">
        <v>0.4</v>
      </c>
      <c r="P64">
        <v>-11.994</v>
      </c>
      <c r="Q64" s="1">
        <v>-0.2</v>
      </c>
      <c r="R64" t="s">
        <v>401</v>
      </c>
      <c r="S64" t="s">
        <v>402</v>
      </c>
    </row>
    <row r="65" spans="1:19" x14ac:dyDescent="0.3">
      <c r="A65">
        <v>134</v>
      </c>
      <c r="B65" t="s">
        <v>531</v>
      </c>
      <c r="C65">
        <v>2016</v>
      </c>
      <c r="D65" t="s">
        <v>399</v>
      </c>
      <c r="E65" t="s">
        <v>6</v>
      </c>
      <c r="F65" t="s">
        <v>100</v>
      </c>
      <c r="G65" t="s">
        <v>15</v>
      </c>
      <c r="H65" t="s">
        <v>16</v>
      </c>
      <c r="I65" t="s">
        <v>532</v>
      </c>
      <c r="J65" t="s">
        <v>17</v>
      </c>
      <c r="K65" t="s">
        <v>32</v>
      </c>
      <c r="L65" t="s">
        <v>19</v>
      </c>
      <c r="M65">
        <v>20.04</v>
      </c>
      <c r="N65">
        <v>3</v>
      </c>
      <c r="O65">
        <v>0</v>
      </c>
      <c r="P65">
        <v>9.6191999999999993</v>
      </c>
      <c r="Q65" s="1">
        <v>0.48</v>
      </c>
      <c r="R65" t="s">
        <v>4</v>
      </c>
      <c r="S65" t="s">
        <v>394</v>
      </c>
    </row>
    <row r="66" spans="1:19" x14ac:dyDescent="0.3">
      <c r="A66">
        <v>141</v>
      </c>
      <c r="B66" t="s">
        <v>533</v>
      </c>
      <c r="C66">
        <v>2016</v>
      </c>
      <c r="D66" t="s">
        <v>428</v>
      </c>
      <c r="E66" t="s">
        <v>13</v>
      </c>
      <c r="F66" t="s">
        <v>46</v>
      </c>
      <c r="G66" t="s">
        <v>47</v>
      </c>
      <c r="H66" t="s">
        <v>48</v>
      </c>
      <c r="I66" t="s">
        <v>534</v>
      </c>
      <c r="J66" t="s">
        <v>10</v>
      </c>
      <c r="K66" t="s">
        <v>24</v>
      </c>
      <c r="L66" t="s">
        <v>5</v>
      </c>
      <c r="M66">
        <v>82.8</v>
      </c>
      <c r="N66">
        <v>2</v>
      </c>
      <c r="O66">
        <v>0.2</v>
      </c>
      <c r="P66">
        <v>10.35</v>
      </c>
      <c r="Q66" s="1">
        <v>0.125</v>
      </c>
      <c r="R66" t="s">
        <v>4</v>
      </c>
      <c r="S66" t="s">
        <v>408</v>
      </c>
    </row>
    <row r="67" spans="1:19" x14ac:dyDescent="0.3">
      <c r="A67">
        <v>142</v>
      </c>
      <c r="B67" t="s">
        <v>535</v>
      </c>
      <c r="C67">
        <v>2017</v>
      </c>
      <c r="D67" t="s">
        <v>428</v>
      </c>
      <c r="E67" t="s">
        <v>13</v>
      </c>
      <c r="F67" t="s">
        <v>43</v>
      </c>
      <c r="G67" t="s">
        <v>15</v>
      </c>
      <c r="H67" t="s">
        <v>16</v>
      </c>
      <c r="I67" t="s">
        <v>536</v>
      </c>
      <c r="J67" t="s">
        <v>17</v>
      </c>
      <c r="K67" t="s">
        <v>25</v>
      </c>
      <c r="L67" t="s">
        <v>19</v>
      </c>
      <c r="M67">
        <v>8.82</v>
      </c>
      <c r="N67">
        <v>3</v>
      </c>
      <c r="O67">
        <v>0</v>
      </c>
      <c r="P67">
        <v>2.3814000000000002</v>
      </c>
      <c r="Q67" s="1">
        <v>0.27</v>
      </c>
      <c r="R67" t="s">
        <v>4</v>
      </c>
      <c r="S67" t="s">
        <v>394</v>
      </c>
    </row>
    <row r="68" spans="1:19" x14ac:dyDescent="0.3">
      <c r="A68">
        <v>145</v>
      </c>
      <c r="B68" t="s">
        <v>537</v>
      </c>
      <c r="C68">
        <v>2017</v>
      </c>
      <c r="D68" t="s">
        <v>410</v>
      </c>
      <c r="E68" t="s">
        <v>6</v>
      </c>
      <c r="F68" t="s">
        <v>102</v>
      </c>
      <c r="G68" t="s">
        <v>103</v>
      </c>
      <c r="H68" t="s">
        <v>38</v>
      </c>
      <c r="I68" t="s">
        <v>538</v>
      </c>
      <c r="J68" t="s">
        <v>17</v>
      </c>
      <c r="K68" t="s">
        <v>29</v>
      </c>
      <c r="L68" t="s">
        <v>19</v>
      </c>
      <c r="M68">
        <v>839.43</v>
      </c>
      <c r="N68">
        <v>3</v>
      </c>
      <c r="O68">
        <v>0</v>
      </c>
      <c r="P68">
        <v>218.2518</v>
      </c>
      <c r="Q68" s="1">
        <v>0.26</v>
      </c>
      <c r="R68" t="s">
        <v>4</v>
      </c>
      <c r="S68" t="s">
        <v>394</v>
      </c>
    </row>
    <row r="69" spans="1:19" x14ac:dyDescent="0.3">
      <c r="A69">
        <v>146</v>
      </c>
      <c r="B69" t="s">
        <v>539</v>
      </c>
      <c r="C69">
        <v>2015</v>
      </c>
      <c r="D69" t="s">
        <v>428</v>
      </c>
      <c r="E69" t="s">
        <v>6</v>
      </c>
      <c r="F69" t="s">
        <v>104</v>
      </c>
      <c r="G69" t="s">
        <v>15</v>
      </c>
      <c r="H69" t="s">
        <v>16</v>
      </c>
      <c r="I69" t="s">
        <v>482</v>
      </c>
      <c r="J69" t="s">
        <v>17</v>
      </c>
      <c r="K69" t="s">
        <v>23</v>
      </c>
      <c r="L69" t="s">
        <v>19</v>
      </c>
      <c r="M69">
        <v>671.93</v>
      </c>
      <c r="N69">
        <v>7</v>
      </c>
      <c r="O69">
        <v>0</v>
      </c>
      <c r="P69">
        <v>20.157900000000001</v>
      </c>
      <c r="Q69" s="1">
        <v>0.03</v>
      </c>
      <c r="R69" t="s">
        <v>4</v>
      </c>
      <c r="S69" t="s">
        <v>394</v>
      </c>
    </row>
    <row r="70" spans="1:19" x14ac:dyDescent="0.3">
      <c r="A70">
        <v>147</v>
      </c>
      <c r="B70" t="s">
        <v>540</v>
      </c>
      <c r="C70">
        <v>2014</v>
      </c>
      <c r="D70" t="s">
        <v>399</v>
      </c>
      <c r="E70" t="s">
        <v>35</v>
      </c>
      <c r="F70" t="s">
        <v>105</v>
      </c>
      <c r="G70" t="s">
        <v>95</v>
      </c>
      <c r="H70" t="s">
        <v>48</v>
      </c>
      <c r="I70" t="s">
        <v>541</v>
      </c>
      <c r="J70" t="s">
        <v>10</v>
      </c>
      <c r="K70" t="s">
        <v>24</v>
      </c>
      <c r="L70" t="s">
        <v>19</v>
      </c>
      <c r="M70">
        <v>93.888000000000005</v>
      </c>
      <c r="N70">
        <v>4</v>
      </c>
      <c r="O70">
        <v>0.2</v>
      </c>
      <c r="P70">
        <v>12.909599999999999</v>
      </c>
      <c r="Q70" s="1">
        <v>0.13750000000000001</v>
      </c>
      <c r="R70" t="s">
        <v>4</v>
      </c>
      <c r="S70" t="s">
        <v>408</v>
      </c>
    </row>
    <row r="71" spans="1:19" x14ac:dyDescent="0.3">
      <c r="A71">
        <v>152</v>
      </c>
      <c r="B71" t="s">
        <v>542</v>
      </c>
      <c r="C71">
        <v>2016</v>
      </c>
      <c r="D71" t="s">
        <v>447</v>
      </c>
      <c r="E71" t="s">
        <v>35</v>
      </c>
      <c r="F71" t="s">
        <v>107</v>
      </c>
      <c r="G71" t="s">
        <v>72</v>
      </c>
      <c r="H71" t="s">
        <v>16</v>
      </c>
      <c r="I71" t="s">
        <v>543</v>
      </c>
      <c r="J71" t="s">
        <v>17</v>
      </c>
      <c r="K71" t="s">
        <v>29</v>
      </c>
      <c r="L71" t="s">
        <v>53</v>
      </c>
      <c r="M71">
        <v>157.91999999999999</v>
      </c>
      <c r="N71">
        <v>5</v>
      </c>
      <c r="O71">
        <v>0.2</v>
      </c>
      <c r="P71">
        <v>17.765999999999998</v>
      </c>
      <c r="Q71" s="1">
        <v>0.1125</v>
      </c>
      <c r="R71" t="s">
        <v>4</v>
      </c>
      <c r="S71" t="s">
        <v>408</v>
      </c>
    </row>
    <row r="72" spans="1:19" x14ac:dyDescent="0.3">
      <c r="A72">
        <v>154</v>
      </c>
      <c r="B72" t="s">
        <v>544</v>
      </c>
      <c r="C72">
        <v>2015</v>
      </c>
      <c r="D72" t="s">
        <v>417</v>
      </c>
      <c r="E72" t="s">
        <v>13</v>
      </c>
      <c r="F72" t="s">
        <v>108</v>
      </c>
      <c r="G72" t="s">
        <v>15</v>
      </c>
      <c r="H72" t="s">
        <v>16</v>
      </c>
      <c r="I72" t="s">
        <v>545</v>
      </c>
      <c r="J72" t="s">
        <v>17</v>
      </c>
      <c r="K72" t="s">
        <v>32</v>
      </c>
      <c r="L72" t="s">
        <v>53</v>
      </c>
      <c r="M72">
        <v>58.38</v>
      </c>
      <c r="N72">
        <v>7</v>
      </c>
      <c r="O72">
        <v>0</v>
      </c>
      <c r="P72">
        <v>26.271000000000001</v>
      </c>
      <c r="Q72" s="1">
        <v>0.45</v>
      </c>
      <c r="R72" t="s">
        <v>4</v>
      </c>
      <c r="S72" t="s">
        <v>394</v>
      </c>
    </row>
    <row r="73" spans="1:19" x14ac:dyDescent="0.3">
      <c r="A73">
        <v>157</v>
      </c>
      <c r="B73" t="s">
        <v>546</v>
      </c>
      <c r="C73">
        <v>2015</v>
      </c>
      <c r="D73" t="s">
        <v>417</v>
      </c>
      <c r="E73" t="s">
        <v>35</v>
      </c>
      <c r="F73" t="s">
        <v>33</v>
      </c>
      <c r="G73" t="s">
        <v>34</v>
      </c>
      <c r="H73" t="s">
        <v>16</v>
      </c>
      <c r="I73" t="s">
        <v>547</v>
      </c>
      <c r="J73" t="s">
        <v>17</v>
      </c>
      <c r="K73" t="s">
        <v>25</v>
      </c>
      <c r="L73" t="s">
        <v>19</v>
      </c>
      <c r="M73">
        <v>6.63</v>
      </c>
      <c r="N73">
        <v>3</v>
      </c>
      <c r="O73">
        <v>0</v>
      </c>
      <c r="P73">
        <v>1.7901</v>
      </c>
      <c r="Q73" s="1">
        <v>0.27</v>
      </c>
      <c r="R73" t="s">
        <v>4</v>
      </c>
      <c r="S73" t="s">
        <v>394</v>
      </c>
    </row>
    <row r="74" spans="1:19" x14ac:dyDescent="0.3">
      <c r="A74">
        <v>158</v>
      </c>
      <c r="B74" t="s">
        <v>548</v>
      </c>
      <c r="C74">
        <v>2014</v>
      </c>
      <c r="D74" t="s">
        <v>447</v>
      </c>
      <c r="E74" t="s">
        <v>6</v>
      </c>
      <c r="F74" t="s">
        <v>33</v>
      </c>
      <c r="G74" t="s">
        <v>34</v>
      </c>
      <c r="H74" t="s">
        <v>16</v>
      </c>
      <c r="I74" t="s">
        <v>522</v>
      </c>
      <c r="J74" t="s">
        <v>10</v>
      </c>
      <c r="K74" t="s">
        <v>12</v>
      </c>
      <c r="L74" t="s">
        <v>5</v>
      </c>
      <c r="M74">
        <v>457.56799999999998</v>
      </c>
      <c r="N74">
        <v>2</v>
      </c>
      <c r="O74">
        <v>0.2</v>
      </c>
      <c r="P74">
        <v>51.476399999999998</v>
      </c>
      <c r="Q74" s="1">
        <v>0.1125</v>
      </c>
      <c r="R74" t="s">
        <v>4</v>
      </c>
      <c r="S74" t="s">
        <v>408</v>
      </c>
    </row>
    <row r="75" spans="1:19" x14ac:dyDescent="0.3">
      <c r="A75">
        <v>159</v>
      </c>
      <c r="B75" t="s">
        <v>549</v>
      </c>
      <c r="C75">
        <v>2016</v>
      </c>
      <c r="D75" t="s">
        <v>392</v>
      </c>
      <c r="E75" t="s">
        <v>6</v>
      </c>
      <c r="F75" t="s">
        <v>109</v>
      </c>
      <c r="G75" t="s">
        <v>110</v>
      </c>
      <c r="H75" t="s">
        <v>38</v>
      </c>
      <c r="I75" t="s">
        <v>550</v>
      </c>
      <c r="J75" t="s">
        <v>17</v>
      </c>
      <c r="K75" t="s">
        <v>18</v>
      </c>
      <c r="L75" t="s">
        <v>19</v>
      </c>
      <c r="M75">
        <v>14.62</v>
      </c>
      <c r="N75">
        <v>2</v>
      </c>
      <c r="O75">
        <v>0</v>
      </c>
      <c r="P75">
        <v>6.8714000000000004</v>
      </c>
      <c r="Q75" s="1">
        <v>0.47</v>
      </c>
      <c r="R75" t="s">
        <v>4</v>
      </c>
      <c r="S75" t="s">
        <v>394</v>
      </c>
    </row>
    <row r="76" spans="1:19" x14ac:dyDescent="0.3">
      <c r="A76">
        <v>161</v>
      </c>
      <c r="B76" t="s">
        <v>551</v>
      </c>
      <c r="C76">
        <v>2016</v>
      </c>
      <c r="D76" t="s">
        <v>417</v>
      </c>
      <c r="E76" t="s">
        <v>6</v>
      </c>
      <c r="F76" t="s">
        <v>14</v>
      </c>
      <c r="G76" t="s">
        <v>15</v>
      </c>
      <c r="H76" t="s">
        <v>16</v>
      </c>
      <c r="I76" t="s">
        <v>552</v>
      </c>
      <c r="J76" t="s">
        <v>17</v>
      </c>
      <c r="K76" t="s">
        <v>32</v>
      </c>
      <c r="L76" t="s">
        <v>53</v>
      </c>
      <c r="M76">
        <v>5.98</v>
      </c>
      <c r="N76">
        <v>1</v>
      </c>
      <c r="O76">
        <v>0</v>
      </c>
      <c r="P76">
        <v>2.6909999999999998</v>
      </c>
      <c r="Q76" s="1">
        <v>0.45</v>
      </c>
      <c r="R76" t="s">
        <v>4</v>
      </c>
      <c r="S76" t="s">
        <v>394</v>
      </c>
    </row>
    <row r="77" spans="1:19" x14ac:dyDescent="0.3">
      <c r="A77">
        <v>162</v>
      </c>
      <c r="B77" t="s">
        <v>553</v>
      </c>
      <c r="C77">
        <v>2015</v>
      </c>
      <c r="D77" t="s">
        <v>410</v>
      </c>
      <c r="E77" t="s">
        <v>6</v>
      </c>
      <c r="F77" t="s">
        <v>46</v>
      </c>
      <c r="G77" t="s">
        <v>47</v>
      </c>
      <c r="H77" t="s">
        <v>48</v>
      </c>
      <c r="I77" t="s">
        <v>554</v>
      </c>
      <c r="J77" t="s">
        <v>26</v>
      </c>
      <c r="K77" t="s">
        <v>50</v>
      </c>
      <c r="L77" t="s">
        <v>5</v>
      </c>
      <c r="M77">
        <v>54.384</v>
      </c>
      <c r="N77">
        <v>2</v>
      </c>
      <c r="O77">
        <v>0.2</v>
      </c>
      <c r="P77">
        <v>1.3595999999999999</v>
      </c>
      <c r="Q77" s="1">
        <v>2.5000000000000001E-2</v>
      </c>
      <c r="R77" t="s">
        <v>4</v>
      </c>
      <c r="S77" t="s">
        <v>408</v>
      </c>
    </row>
    <row r="78" spans="1:19" x14ac:dyDescent="0.3">
      <c r="A78">
        <v>163</v>
      </c>
      <c r="B78" t="s">
        <v>555</v>
      </c>
      <c r="C78">
        <v>2016</v>
      </c>
      <c r="D78" t="s">
        <v>392</v>
      </c>
      <c r="E78" t="s">
        <v>6</v>
      </c>
      <c r="F78" t="s">
        <v>111</v>
      </c>
      <c r="G78" t="s">
        <v>112</v>
      </c>
      <c r="H78" t="s">
        <v>16</v>
      </c>
      <c r="I78" t="s">
        <v>556</v>
      </c>
      <c r="J78" t="s">
        <v>17</v>
      </c>
      <c r="K78" t="s">
        <v>51</v>
      </c>
      <c r="L78" t="s">
        <v>19</v>
      </c>
      <c r="M78">
        <v>28.4</v>
      </c>
      <c r="N78">
        <v>5</v>
      </c>
      <c r="O78">
        <v>0</v>
      </c>
      <c r="P78">
        <v>13.348000000000001</v>
      </c>
      <c r="Q78" s="1">
        <v>0.47</v>
      </c>
      <c r="R78" t="s">
        <v>4</v>
      </c>
      <c r="S78" t="s">
        <v>394</v>
      </c>
    </row>
    <row r="79" spans="1:19" x14ac:dyDescent="0.3">
      <c r="A79">
        <v>164</v>
      </c>
      <c r="B79" t="s">
        <v>557</v>
      </c>
      <c r="C79">
        <v>2016</v>
      </c>
      <c r="D79" t="s">
        <v>392</v>
      </c>
      <c r="E79" t="s">
        <v>6</v>
      </c>
      <c r="F79" t="s">
        <v>33</v>
      </c>
      <c r="G79" t="s">
        <v>34</v>
      </c>
      <c r="H79" t="s">
        <v>16</v>
      </c>
      <c r="I79" t="s">
        <v>558</v>
      </c>
      <c r="J79" t="s">
        <v>17</v>
      </c>
      <c r="K79" t="s">
        <v>28</v>
      </c>
      <c r="L79" t="s">
        <v>19</v>
      </c>
      <c r="M79">
        <v>27.68</v>
      </c>
      <c r="N79">
        <v>2</v>
      </c>
      <c r="O79">
        <v>0.2</v>
      </c>
      <c r="P79">
        <v>9.6880000000000006</v>
      </c>
      <c r="Q79" s="1">
        <v>0.35</v>
      </c>
      <c r="R79" t="s">
        <v>4</v>
      </c>
      <c r="S79" t="s">
        <v>408</v>
      </c>
    </row>
    <row r="80" spans="1:19" x14ac:dyDescent="0.3">
      <c r="A80">
        <v>165</v>
      </c>
      <c r="B80" t="s">
        <v>559</v>
      </c>
      <c r="C80">
        <v>2014</v>
      </c>
      <c r="D80" t="s">
        <v>428</v>
      </c>
      <c r="E80" t="s">
        <v>6</v>
      </c>
      <c r="F80" t="s">
        <v>113</v>
      </c>
      <c r="G80" t="s">
        <v>37</v>
      </c>
      <c r="H80" t="s">
        <v>38</v>
      </c>
      <c r="I80" t="s">
        <v>560</v>
      </c>
      <c r="J80" t="s">
        <v>17</v>
      </c>
      <c r="K80" t="s">
        <v>25</v>
      </c>
      <c r="L80" t="s">
        <v>19</v>
      </c>
      <c r="M80">
        <v>9.9359999999999999</v>
      </c>
      <c r="N80">
        <v>3</v>
      </c>
      <c r="O80">
        <v>0.2</v>
      </c>
      <c r="P80">
        <v>2.7324000000000002</v>
      </c>
      <c r="Q80" s="1">
        <v>0.27500000000000002</v>
      </c>
      <c r="R80" t="s">
        <v>4</v>
      </c>
      <c r="S80" t="s">
        <v>408</v>
      </c>
    </row>
    <row r="81" spans="1:19" x14ac:dyDescent="0.3">
      <c r="A81">
        <v>172</v>
      </c>
      <c r="B81" t="s">
        <v>561</v>
      </c>
      <c r="C81">
        <v>2014</v>
      </c>
      <c r="D81" t="s">
        <v>420</v>
      </c>
      <c r="E81" t="s">
        <v>6</v>
      </c>
      <c r="F81" t="s">
        <v>14</v>
      </c>
      <c r="G81" t="s">
        <v>15</v>
      </c>
      <c r="H81" t="s">
        <v>16</v>
      </c>
      <c r="I81" t="s">
        <v>562</v>
      </c>
      <c r="J81" t="s">
        <v>17</v>
      </c>
      <c r="K81" t="s">
        <v>32</v>
      </c>
      <c r="L81" t="s">
        <v>19</v>
      </c>
      <c r="M81">
        <v>20.94</v>
      </c>
      <c r="N81">
        <v>3</v>
      </c>
      <c r="O81">
        <v>0</v>
      </c>
      <c r="P81">
        <v>9.8417999999999992</v>
      </c>
      <c r="Q81" s="1">
        <v>0.47</v>
      </c>
      <c r="R81" t="s">
        <v>4</v>
      </c>
      <c r="S81" t="s">
        <v>394</v>
      </c>
    </row>
    <row r="82" spans="1:19" x14ac:dyDescent="0.3">
      <c r="A82">
        <v>175</v>
      </c>
      <c r="B82" t="s">
        <v>563</v>
      </c>
      <c r="C82">
        <v>2014</v>
      </c>
      <c r="D82" t="s">
        <v>428</v>
      </c>
      <c r="E82" t="s">
        <v>13</v>
      </c>
      <c r="F82" t="s">
        <v>70</v>
      </c>
      <c r="G82" t="s">
        <v>56</v>
      </c>
      <c r="H82" t="s">
        <v>38</v>
      </c>
      <c r="I82" t="s">
        <v>564</v>
      </c>
      <c r="J82" t="s">
        <v>17</v>
      </c>
      <c r="K82" t="s">
        <v>29</v>
      </c>
      <c r="L82" t="s">
        <v>19</v>
      </c>
      <c r="M82">
        <v>52.448</v>
      </c>
      <c r="N82">
        <v>2</v>
      </c>
      <c r="O82">
        <v>0.8</v>
      </c>
      <c r="P82">
        <v>-131.12</v>
      </c>
      <c r="Q82" s="1">
        <v>-2.5</v>
      </c>
      <c r="R82" t="s">
        <v>401</v>
      </c>
      <c r="S82" t="s">
        <v>402</v>
      </c>
    </row>
    <row r="83" spans="1:19" x14ac:dyDescent="0.3">
      <c r="A83">
        <v>177</v>
      </c>
      <c r="B83" t="s">
        <v>565</v>
      </c>
      <c r="C83">
        <v>2017</v>
      </c>
      <c r="D83" t="s">
        <v>406</v>
      </c>
      <c r="E83" t="s">
        <v>6</v>
      </c>
      <c r="F83" t="s">
        <v>52</v>
      </c>
      <c r="G83" t="s">
        <v>37</v>
      </c>
      <c r="H83" t="s">
        <v>38</v>
      </c>
      <c r="I83" t="s">
        <v>566</v>
      </c>
      <c r="J83" t="s">
        <v>17</v>
      </c>
      <c r="K83" t="s">
        <v>29</v>
      </c>
      <c r="L83" t="s">
        <v>5</v>
      </c>
      <c r="M83">
        <v>97.263999999999996</v>
      </c>
      <c r="N83">
        <v>4</v>
      </c>
      <c r="O83">
        <v>0.8</v>
      </c>
      <c r="P83">
        <v>-243.16</v>
      </c>
      <c r="Q83" s="1">
        <v>-2.5</v>
      </c>
      <c r="R83" t="s">
        <v>401</v>
      </c>
      <c r="S83" t="s">
        <v>402</v>
      </c>
    </row>
    <row r="84" spans="1:19" x14ac:dyDescent="0.3">
      <c r="A84">
        <v>178</v>
      </c>
      <c r="B84" t="s">
        <v>567</v>
      </c>
      <c r="C84">
        <v>2015</v>
      </c>
      <c r="D84" t="s">
        <v>392</v>
      </c>
      <c r="E84" t="s">
        <v>6</v>
      </c>
      <c r="F84" t="s">
        <v>105</v>
      </c>
      <c r="G84" t="s">
        <v>95</v>
      </c>
      <c r="H84" t="s">
        <v>48</v>
      </c>
      <c r="I84" t="s">
        <v>568</v>
      </c>
      <c r="J84" t="s">
        <v>10</v>
      </c>
      <c r="K84" t="s">
        <v>12</v>
      </c>
      <c r="L84" t="s">
        <v>5</v>
      </c>
      <c r="M84">
        <v>396.80200000000002</v>
      </c>
      <c r="N84">
        <v>7</v>
      </c>
      <c r="O84">
        <v>0.3</v>
      </c>
      <c r="P84">
        <v>-11.337199999999999</v>
      </c>
      <c r="Q84" s="1">
        <v>-2.8571428571428598E-2</v>
      </c>
      <c r="R84" t="s">
        <v>401</v>
      </c>
      <c r="S84" t="s">
        <v>402</v>
      </c>
    </row>
    <row r="85" spans="1:19" x14ac:dyDescent="0.3">
      <c r="A85">
        <v>180</v>
      </c>
      <c r="B85" t="s">
        <v>569</v>
      </c>
      <c r="C85">
        <v>2015</v>
      </c>
      <c r="D85" t="s">
        <v>410</v>
      </c>
      <c r="E85" t="s">
        <v>35</v>
      </c>
      <c r="F85" t="s">
        <v>66</v>
      </c>
      <c r="G85" t="s">
        <v>67</v>
      </c>
      <c r="H85" t="s">
        <v>48</v>
      </c>
      <c r="I85" t="s">
        <v>570</v>
      </c>
      <c r="J85" t="s">
        <v>17</v>
      </c>
      <c r="K85" t="s">
        <v>25</v>
      </c>
      <c r="L85" t="s">
        <v>19</v>
      </c>
      <c r="M85">
        <v>3.28</v>
      </c>
      <c r="N85">
        <v>1</v>
      </c>
      <c r="O85">
        <v>0</v>
      </c>
      <c r="P85">
        <v>1.4104000000000001</v>
      </c>
      <c r="Q85" s="1">
        <v>0.43</v>
      </c>
      <c r="R85" t="s">
        <v>4</v>
      </c>
      <c r="S85" t="s">
        <v>394</v>
      </c>
    </row>
    <row r="86" spans="1:19" x14ac:dyDescent="0.3">
      <c r="A86">
        <v>183</v>
      </c>
      <c r="B86" t="s">
        <v>571</v>
      </c>
      <c r="C86">
        <v>2014</v>
      </c>
      <c r="D86" t="s">
        <v>392</v>
      </c>
      <c r="E86" t="s">
        <v>35</v>
      </c>
      <c r="F86" t="s">
        <v>115</v>
      </c>
      <c r="G86" t="s">
        <v>116</v>
      </c>
      <c r="H86" t="s">
        <v>9</v>
      </c>
      <c r="I86" t="s">
        <v>572</v>
      </c>
      <c r="J86" t="s">
        <v>26</v>
      </c>
      <c r="K86" t="s">
        <v>27</v>
      </c>
      <c r="L86" t="s">
        <v>5</v>
      </c>
      <c r="M86">
        <v>503.96</v>
      </c>
      <c r="N86">
        <v>4</v>
      </c>
      <c r="O86">
        <v>0</v>
      </c>
      <c r="P86">
        <v>131.02959999999999</v>
      </c>
      <c r="Q86" s="1">
        <v>0.26</v>
      </c>
      <c r="R86" t="s">
        <v>4</v>
      </c>
      <c r="S86" t="s">
        <v>394</v>
      </c>
    </row>
    <row r="87" spans="1:19" x14ac:dyDescent="0.3">
      <c r="A87">
        <v>186</v>
      </c>
      <c r="B87" t="s">
        <v>573</v>
      </c>
      <c r="C87">
        <v>2016</v>
      </c>
      <c r="D87" t="s">
        <v>392</v>
      </c>
      <c r="E87" t="s">
        <v>6</v>
      </c>
      <c r="F87" t="s">
        <v>117</v>
      </c>
      <c r="G87" t="s">
        <v>118</v>
      </c>
      <c r="H87" t="s">
        <v>48</v>
      </c>
      <c r="I87" t="s">
        <v>574</v>
      </c>
      <c r="J87" t="s">
        <v>17</v>
      </c>
      <c r="K87" t="s">
        <v>28</v>
      </c>
      <c r="L87" t="s">
        <v>19</v>
      </c>
      <c r="M87">
        <v>7.16</v>
      </c>
      <c r="N87">
        <v>2</v>
      </c>
      <c r="O87">
        <v>0</v>
      </c>
      <c r="P87">
        <v>3.4367999999999999</v>
      </c>
      <c r="Q87" s="1">
        <v>0.48</v>
      </c>
      <c r="R87" t="s">
        <v>4</v>
      </c>
      <c r="S87" t="s">
        <v>394</v>
      </c>
    </row>
    <row r="88" spans="1:19" x14ac:dyDescent="0.3">
      <c r="A88">
        <v>187</v>
      </c>
      <c r="B88" t="s">
        <v>575</v>
      </c>
      <c r="C88">
        <v>2014</v>
      </c>
      <c r="D88" t="s">
        <v>420</v>
      </c>
      <c r="E88" t="s">
        <v>35</v>
      </c>
      <c r="F88" t="s">
        <v>14</v>
      </c>
      <c r="G88" t="s">
        <v>15</v>
      </c>
      <c r="H88" t="s">
        <v>16</v>
      </c>
      <c r="I88" t="s">
        <v>576</v>
      </c>
      <c r="J88" t="s">
        <v>26</v>
      </c>
      <c r="K88" t="s">
        <v>50</v>
      </c>
      <c r="L88" t="s">
        <v>19</v>
      </c>
      <c r="M88">
        <v>176.8</v>
      </c>
      <c r="N88">
        <v>8</v>
      </c>
      <c r="O88">
        <v>0</v>
      </c>
      <c r="P88">
        <v>22.984000000000002</v>
      </c>
      <c r="Q88" s="1">
        <v>0.13</v>
      </c>
      <c r="R88" t="s">
        <v>4</v>
      </c>
      <c r="S88" t="s">
        <v>394</v>
      </c>
    </row>
    <row r="89" spans="1:19" x14ac:dyDescent="0.3">
      <c r="A89">
        <v>188</v>
      </c>
      <c r="B89" t="s">
        <v>577</v>
      </c>
      <c r="C89">
        <v>2016</v>
      </c>
      <c r="D89" t="s">
        <v>425</v>
      </c>
      <c r="E89" t="s">
        <v>13</v>
      </c>
      <c r="F89" t="s">
        <v>119</v>
      </c>
      <c r="G89" t="s">
        <v>37</v>
      </c>
      <c r="H89" t="s">
        <v>38</v>
      </c>
      <c r="I89" t="s">
        <v>578</v>
      </c>
      <c r="J89" t="s">
        <v>17</v>
      </c>
      <c r="K89" t="s">
        <v>23</v>
      </c>
      <c r="L89" t="s">
        <v>19</v>
      </c>
      <c r="M89">
        <v>37.223999999999997</v>
      </c>
      <c r="N89">
        <v>3</v>
      </c>
      <c r="O89">
        <v>0.2</v>
      </c>
      <c r="P89">
        <v>3.7223999999999999</v>
      </c>
      <c r="Q89" s="1">
        <v>0.1</v>
      </c>
      <c r="R89" t="s">
        <v>4</v>
      </c>
      <c r="S89" t="s">
        <v>408</v>
      </c>
    </row>
    <row r="90" spans="1:19" x14ac:dyDescent="0.3">
      <c r="A90">
        <v>190</v>
      </c>
      <c r="B90" t="s">
        <v>579</v>
      </c>
      <c r="C90">
        <v>2015</v>
      </c>
      <c r="D90" t="s">
        <v>399</v>
      </c>
      <c r="E90" t="s">
        <v>35</v>
      </c>
      <c r="F90" t="s">
        <v>66</v>
      </c>
      <c r="G90" t="s">
        <v>67</v>
      </c>
      <c r="H90" t="s">
        <v>48</v>
      </c>
      <c r="I90" t="s">
        <v>580</v>
      </c>
      <c r="J90" t="s">
        <v>10</v>
      </c>
      <c r="K90" t="s">
        <v>11</v>
      </c>
      <c r="L90" t="s">
        <v>53</v>
      </c>
      <c r="M90">
        <v>899.13599999999997</v>
      </c>
      <c r="N90">
        <v>4</v>
      </c>
      <c r="O90">
        <v>0.2</v>
      </c>
      <c r="P90">
        <v>112.392</v>
      </c>
      <c r="Q90" s="1">
        <v>0.125</v>
      </c>
      <c r="R90" t="s">
        <v>4</v>
      </c>
      <c r="S90" t="s">
        <v>408</v>
      </c>
    </row>
    <row r="91" spans="1:19" x14ac:dyDescent="0.3">
      <c r="A91">
        <v>195</v>
      </c>
      <c r="B91" t="s">
        <v>581</v>
      </c>
      <c r="C91">
        <v>2015</v>
      </c>
      <c r="D91" t="s">
        <v>399</v>
      </c>
      <c r="E91" t="s">
        <v>13</v>
      </c>
      <c r="F91" t="s">
        <v>120</v>
      </c>
      <c r="G91" t="s">
        <v>15</v>
      </c>
      <c r="H91" t="s">
        <v>16</v>
      </c>
      <c r="I91" t="s">
        <v>582</v>
      </c>
      <c r="J91" t="s">
        <v>17</v>
      </c>
      <c r="K91" t="s">
        <v>51</v>
      </c>
      <c r="L91" t="s">
        <v>19</v>
      </c>
      <c r="M91">
        <v>14.28</v>
      </c>
      <c r="N91">
        <v>7</v>
      </c>
      <c r="O91">
        <v>0</v>
      </c>
      <c r="P91">
        <v>6.7115999999999998</v>
      </c>
      <c r="Q91" s="1">
        <v>0.47</v>
      </c>
      <c r="R91" t="s">
        <v>4</v>
      </c>
      <c r="S91" t="s">
        <v>394</v>
      </c>
    </row>
    <row r="92" spans="1:19" x14ac:dyDescent="0.3">
      <c r="A92">
        <v>196</v>
      </c>
      <c r="B92" t="s">
        <v>583</v>
      </c>
      <c r="C92">
        <v>2014</v>
      </c>
      <c r="D92" t="s">
        <v>447</v>
      </c>
      <c r="E92" t="s">
        <v>6</v>
      </c>
      <c r="F92" t="s">
        <v>121</v>
      </c>
      <c r="G92" t="s">
        <v>95</v>
      </c>
      <c r="H92" t="s">
        <v>48</v>
      </c>
      <c r="I92" t="s">
        <v>584</v>
      </c>
      <c r="J92" t="s">
        <v>17</v>
      </c>
      <c r="K92" t="s">
        <v>25</v>
      </c>
      <c r="L92" t="s">
        <v>19</v>
      </c>
      <c r="M92">
        <v>7.4080000000000004</v>
      </c>
      <c r="N92">
        <v>2</v>
      </c>
      <c r="O92">
        <v>0.2</v>
      </c>
      <c r="P92">
        <v>1.2038</v>
      </c>
      <c r="Q92" s="1">
        <v>0.16250000000000001</v>
      </c>
      <c r="R92" t="s">
        <v>4</v>
      </c>
      <c r="S92" t="s">
        <v>408</v>
      </c>
    </row>
    <row r="93" spans="1:19" x14ac:dyDescent="0.3">
      <c r="A93">
        <v>199</v>
      </c>
      <c r="B93" t="s">
        <v>585</v>
      </c>
      <c r="C93">
        <v>2017</v>
      </c>
      <c r="D93" t="s">
        <v>425</v>
      </c>
      <c r="E93" t="s">
        <v>13</v>
      </c>
      <c r="F93" t="s">
        <v>46</v>
      </c>
      <c r="G93" t="s">
        <v>47</v>
      </c>
      <c r="H93" t="s">
        <v>48</v>
      </c>
      <c r="I93" t="s">
        <v>586</v>
      </c>
      <c r="J93" t="s">
        <v>17</v>
      </c>
      <c r="K93" t="s">
        <v>28</v>
      </c>
      <c r="L93" t="s">
        <v>19</v>
      </c>
      <c r="M93">
        <v>2.9460000000000002</v>
      </c>
      <c r="N93">
        <v>2</v>
      </c>
      <c r="O93">
        <v>0.7</v>
      </c>
      <c r="P93">
        <v>-2.2585999999999999</v>
      </c>
      <c r="Q93" s="1">
        <v>-0.76666666666666605</v>
      </c>
      <c r="R93" t="s">
        <v>401</v>
      </c>
      <c r="S93" t="s">
        <v>402</v>
      </c>
    </row>
    <row r="94" spans="1:19" x14ac:dyDescent="0.3">
      <c r="A94">
        <v>201</v>
      </c>
      <c r="B94" t="s">
        <v>587</v>
      </c>
      <c r="C94">
        <v>2017</v>
      </c>
      <c r="D94" t="s">
        <v>396</v>
      </c>
      <c r="E94" t="s">
        <v>6</v>
      </c>
      <c r="F94" t="s">
        <v>124</v>
      </c>
      <c r="G94" t="s">
        <v>95</v>
      </c>
      <c r="H94" t="s">
        <v>48</v>
      </c>
      <c r="I94" t="s">
        <v>588</v>
      </c>
      <c r="J94" t="s">
        <v>17</v>
      </c>
      <c r="K94" t="s">
        <v>32</v>
      </c>
      <c r="L94" t="s">
        <v>19</v>
      </c>
      <c r="M94">
        <v>21.744</v>
      </c>
      <c r="N94">
        <v>3</v>
      </c>
      <c r="O94">
        <v>0.2</v>
      </c>
      <c r="P94">
        <v>6.7949999999999999</v>
      </c>
      <c r="Q94" s="1">
        <v>0.3125</v>
      </c>
      <c r="R94" t="s">
        <v>4</v>
      </c>
      <c r="S94" t="s">
        <v>408</v>
      </c>
    </row>
    <row r="95" spans="1:19" x14ac:dyDescent="0.3">
      <c r="A95">
        <v>202</v>
      </c>
      <c r="B95" t="s">
        <v>589</v>
      </c>
      <c r="C95">
        <v>2014</v>
      </c>
      <c r="D95" t="s">
        <v>420</v>
      </c>
      <c r="E95" t="s">
        <v>6</v>
      </c>
      <c r="F95" t="s">
        <v>125</v>
      </c>
      <c r="G95" t="s">
        <v>89</v>
      </c>
      <c r="H95" t="s">
        <v>16</v>
      </c>
      <c r="I95" t="s">
        <v>590</v>
      </c>
      <c r="J95" t="s">
        <v>10</v>
      </c>
      <c r="K95" t="s">
        <v>22</v>
      </c>
      <c r="L95" t="s">
        <v>53</v>
      </c>
      <c r="M95">
        <v>218.75</v>
      </c>
      <c r="N95">
        <v>2</v>
      </c>
      <c r="O95">
        <v>0.5</v>
      </c>
      <c r="P95">
        <v>-161.875</v>
      </c>
      <c r="Q95" s="1">
        <v>-0.74</v>
      </c>
      <c r="R95" t="s">
        <v>401</v>
      </c>
      <c r="S95" t="s">
        <v>402</v>
      </c>
    </row>
    <row r="96" spans="1:19" x14ac:dyDescent="0.3">
      <c r="A96">
        <v>204</v>
      </c>
      <c r="B96" t="s">
        <v>591</v>
      </c>
      <c r="C96">
        <v>2017</v>
      </c>
      <c r="D96" t="s">
        <v>410</v>
      </c>
      <c r="E96" t="s">
        <v>6</v>
      </c>
      <c r="F96" t="s">
        <v>126</v>
      </c>
      <c r="G96" t="s">
        <v>37</v>
      </c>
      <c r="H96" t="s">
        <v>38</v>
      </c>
      <c r="I96" t="s">
        <v>592</v>
      </c>
      <c r="J96" t="s">
        <v>17</v>
      </c>
      <c r="K96" t="s">
        <v>29</v>
      </c>
      <c r="L96" t="s">
        <v>5</v>
      </c>
      <c r="M96">
        <v>66.284000000000006</v>
      </c>
      <c r="N96">
        <v>2</v>
      </c>
      <c r="O96">
        <v>0.8</v>
      </c>
      <c r="P96">
        <v>-178.96680000000001</v>
      </c>
      <c r="Q96" s="1">
        <v>-2.7</v>
      </c>
      <c r="R96" t="s">
        <v>401</v>
      </c>
      <c r="S96" t="s">
        <v>402</v>
      </c>
    </row>
    <row r="97" spans="1:19" x14ac:dyDescent="0.3">
      <c r="A97">
        <v>205</v>
      </c>
      <c r="B97" t="s">
        <v>593</v>
      </c>
      <c r="C97">
        <v>2017</v>
      </c>
      <c r="D97" t="s">
        <v>396</v>
      </c>
      <c r="E97" t="s">
        <v>13</v>
      </c>
      <c r="F97" t="s">
        <v>106</v>
      </c>
      <c r="G97" t="s">
        <v>77</v>
      </c>
      <c r="H97" t="s">
        <v>9</v>
      </c>
      <c r="I97" t="s">
        <v>594</v>
      </c>
      <c r="J97" t="s">
        <v>10</v>
      </c>
      <c r="K97" t="s">
        <v>24</v>
      </c>
      <c r="L97" t="s">
        <v>19</v>
      </c>
      <c r="M97">
        <v>35.167999999999999</v>
      </c>
      <c r="N97">
        <v>7</v>
      </c>
      <c r="O97">
        <v>0.2</v>
      </c>
      <c r="P97">
        <v>9.6712000000000007</v>
      </c>
      <c r="Q97" s="1">
        <v>0.27500000000000002</v>
      </c>
      <c r="R97" t="s">
        <v>4</v>
      </c>
      <c r="S97" t="s">
        <v>408</v>
      </c>
    </row>
    <row r="98" spans="1:19" x14ac:dyDescent="0.3">
      <c r="A98">
        <v>207</v>
      </c>
      <c r="B98" t="s">
        <v>595</v>
      </c>
      <c r="C98">
        <v>2017</v>
      </c>
      <c r="D98" t="s">
        <v>410</v>
      </c>
      <c r="E98" t="s">
        <v>6</v>
      </c>
      <c r="F98" t="s">
        <v>127</v>
      </c>
      <c r="G98" t="s">
        <v>61</v>
      </c>
      <c r="H98" t="s">
        <v>38</v>
      </c>
      <c r="I98" t="s">
        <v>596</v>
      </c>
      <c r="J98" t="s">
        <v>17</v>
      </c>
      <c r="K98" t="s">
        <v>23</v>
      </c>
      <c r="L98" t="s">
        <v>19</v>
      </c>
      <c r="M98">
        <v>83.92</v>
      </c>
      <c r="N98">
        <v>4</v>
      </c>
      <c r="O98">
        <v>0</v>
      </c>
      <c r="P98">
        <v>5.8743999999999996</v>
      </c>
      <c r="Q98" s="1">
        <v>7.0000000000000007E-2</v>
      </c>
      <c r="R98" t="s">
        <v>4</v>
      </c>
      <c r="S98" t="s">
        <v>394</v>
      </c>
    </row>
    <row r="99" spans="1:19" x14ac:dyDescent="0.3">
      <c r="A99">
        <v>212</v>
      </c>
      <c r="B99" t="s">
        <v>597</v>
      </c>
      <c r="C99">
        <v>2015</v>
      </c>
      <c r="D99" t="s">
        <v>529</v>
      </c>
      <c r="E99" t="s">
        <v>13</v>
      </c>
      <c r="F99" t="s">
        <v>126</v>
      </c>
      <c r="G99" t="s">
        <v>37</v>
      </c>
      <c r="H99" t="s">
        <v>38</v>
      </c>
      <c r="I99" t="s">
        <v>598</v>
      </c>
      <c r="J99" t="s">
        <v>26</v>
      </c>
      <c r="K99" t="s">
        <v>50</v>
      </c>
      <c r="L99" t="s">
        <v>5</v>
      </c>
      <c r="M99">
        <v>20.8</v>
      </c>
      <c r="N99">
        <v>2</v>
      </c>
      <c r="O99">
        <v>0.2</v>
      </c>
      <c r="P99">
        <v>6.5</v>
      </c>
      <c r="Q99" s="1">
        <v>0.3125</v>
      </c>
      <c r="R99" t="s">
        <v>4</v>
      </c>
      <c r="S99" t="s">
        <v>408</v>
      </c>
    </row>
    <row r="100" spans="1:19" x14ac:dyDescent="0.3">
      <c r="A100">
        <v>213</v>
      </c>
      <c r="B100" t="s">
        <v>599</v>
      </c>
      <c r="C100">
        <v>2015</v>
      </c>
      <c r="D100" t="s">
        <v>430</v>
      </c>
      <c r="E100" t="s">
        <v>13</v>
      </c>
      <c r="F100" t="s">
        <v>128</v>
      </c>
      <c r="G100" t="s">
        <v>95</v>
      </c>
      <c r="H100" t="s">
        <v>48</v>
      </c>
      <c r="I100" t="s">
        <v>600</v>
      </c>
      <c r="J100" t="s">
        <v>17</v>
      </c>
      <c r="K100" t="s">
        <v>18</v>
      </c>
      <c r="L100" t="s">
        <v>19</v>
      </c>
      <c r="M100">
        <v>23.68</v>
      </c>
      <c r="N100">
        <v>2</v>
      </c>
      <c r="O100">
        <v>0.2</v>
      </c>
      <c r="P100">
        <v>8.8800000000000008</v>
      </c>
      <c r="Q100" s="1">
        <v>0.375</v>
      </c>
      <c r="R100" t="s">
        <v>4</v>
      </c>
      <c r="S100" t="s">
        <v>408</v>
      </c>
    </row>
    <row r="101" spans="1:19" x14ac:dyDescent="0.3">
      <c r="A101">
        <v>218</v>
      </c>
      <c r="B101" t="s">
        <v>601</v>
      </c>
      <c r="C101">
        <v>2016</v>
      </c>
      <c r="D101" t="s">
        <v>399</v>
      </c>
      <c r="E101" t="s">
        <v>6</v>
      </c>
      <c r="F101" t="s">
        <v>14</v>
      </c>
      <c r="G101" t="s">
        <v>15</v>
      </c>
      <c r="H101" t="s">
        <v>16</v>
      </c>
      <c r="I101" t="s">
        <v>578</v>
      </c>
      <c r="J101" t="s">
        <v>17</v>
      </c>
      <c r="K101" t="s">
        <v>23</v>
      </c>
      <c r="L101" t="s">
        <v>19</v>
      </c>
      <c r="M101">
        <v>93.06</v>
      </c>
      <c r="N101">
        <v>6</v>
      </c>
      <c r="O101">
        <v>0</v>
      </c>
      <c r="P101">
        <v>26.056799999999999</v>
      </c>
      <c r="Q101" s="1">
        <v>0.28000000000000003</v>
      </c>
      <c r="R101" t="s">
        <v>4</v>
      </c>
      <c r="S101" t="s">
        <v>394</v>
      </c>
    </row>
    <row r="102" spans="1:19" x14ac:dyDescent="0.3">
      <c r="A102">
        <v>220</v>
      </c>
      <c r="B102" t="s">
        <v>602</v>
      </c>
      <c r="C102">
        <v>2015</v>
      </c>
      <c r="D102" t="s">
        <v>410</v>
      </c>
      <c r="E102" t="s">
        <v>6</v>
      </c>
      <c r="F102" t="s">
        <v>129</v>
      </c>
      <c r="G102" t="s">
        <v>95</v>
      </c>
      <c r="H102" t="s">
        <v>48</v>
      </c>
      <c r="I102" t="s">
        <v>603</v>
      </c>
      <c r="J102" t="s">
        <v>17</v>
      </c>
      <c r="K102" t="s">
        <v>68</v>
      </c>
      <c r="L102" t="s">
        <v>53</v>
      </c>
      <c r="M102">
        <v>5.5839999999999996</v>
      </c>
      <c r="N102">
        <v>2</v>
      </c>
      <c r="O102">
        <v>0.2</v>
      </c>
      <c r="P102">
        <v>1.8148</v>
      </c>
      <c r="Q102" s="1">
        <v>0.32500000000000001</v>
      </c>
      <c r="R102" t="s">
        <v>4</v>
      </c>
      <c r="S102" t="s">
        <v>408</v>
      </c>
    </row>
    <row r="103" spans="1:19" x14ac:dyDescent="0.3">
      <c r="A103">
        <v>226</v>
      </c>
      <c r="B103" t="s">
        <v>604</v>
      </c>
      <c r="C103">
        <v>2015</v>
      </c>
      <c r="D103" t="s">
        <v>420</v>
      </c>
      <c r="E103" t="s">
        <v>13</v>
      </c>
      <c r="F103" t="s">
        <v>130</v>
      </c>
      <c r="G103" t="s">
        <v>61</v>
      </c>
      <c r="H103" t="s">
        <v>38</v>
      </c>
      <c r="I103" t="s">
        <v>605</v>
      </c>
      <c r="J103" t="s">
        <v>17</v>
      </c>
      <c r="K103" t="s">
        <v>25</v>
      </c>
      <c r="L103" t="s">
        <v>19</v>
      </c>
      <c r="M103">
        <v>2.2000000000000002</v>
      </c>
      <c r="N103">
        <v>1</v>
      </c>
      <c r="O103">
        <v>0</v>
      </c>
      <c r="P103">
        <v>0.96799999999999997</v>
      </c>
      <c r="Q103" s="1">
        <v>0.44</v>
      </c>
      <c r="R103" t="s">
        <v>4</v>
      </c>
      <c r="S103" t="s">
        <v>394</v>
      </c>
    </row>
    <row r="104" spans="1:19" x14ac:dyDescent="0.3">
      <c r="A104">
        <v>229</v>
      </c>
      <c r="B104" t="s">
        <v>606</v>
      </c>
      <c r="C104">
        <v>2015</v>
      </c>
      <c r="D104" t="s">
        <v>529</v>
      </c>
      <c r="E104" t="s">
        <v>6</v>
      </c>
      <c r="F104" t="s">
        <v>81</v>
      </c>
      <c r="G104" t="s">
        <v>77</v>
      </c>
      <c r="H104" t="s">
        <v>9</v>
      </c>
      <c r="I104" t="s">
        <v>607</v>
      </c>
      <c r="J104" t="s">
        <v>10</v>
      </c>
      <c r="K104" t="s">
        <v>12</v>
      </c>
      <c r="L104" t="s">
        <v>19</v>
      </c>
      <c r="M104">
        <v>161.56800000000001</v>
      </c>
      <c r="N104">
        <v>2</v>
      </c>
      <c r="O104">
        <v>0.2</v>
      </c>
      <c r="P104">
        <v>-28.2744</v>
      </c>
      <c r="Q104" s="1">
        <v>-0.17499999999999999</v>
      </c>
      <c r="R104" t="s">
        <v>401</v>
      </c>
      <c r="S104" t="s">
        <v>408</v>
      </c>
    </row>
    <row r="105" spans="1:19" x14ac:dyDescent="0.3">
      <c r="A105">
        <v>231</v>
      </c>
      <c r="B105" t="s">
        <v>608</v>
      </c>
      <c r="C105">
        <v>2014</v>
      </c>
      <c r="D105" t="s">
        <v>428</v>
      </c>
      <c r="E105" t="s">
        <v>13</v>
      </c>
      <c r="F105" t="s">
        <v>90</v>
      </c>
      <c r="G105" t="s">
        <v>31</v>
      </c>
      <c r="H105" t="s">
        <v>9</v>
      </c>
      <c r="I105" t="s">
        <v>609</v>
      </c>
      <c r="J105" t="s">
        <v>17</v>
      </c>
      <c r="K105" t="s">
        <v>28</v>
      </c>
      <c r="L105" t="s">
        <v>19</v>
      </c>
      <c r="M105">
        <v>18.648</v>
      </c>
      <c r="N105">
        <v>7</v>
      </c>
      <c r="O105">
        <v>0.7</v>
      </c>
      <c r="P105">
        <v>-12.432</v>
      </c>
      <c r="Q105" s="1">
        <v>-0.66666666666666696</v>
      </c>
      <c r="R105" t="s">
        <v>401</v>
      </c>
      <c r="S105" t="s">
        <v>402</v>
      </c>
    </row>
    <row r="106" spans="1:19" x14ac:dyDescent="0.3">
      <c r="A106">
        <v>232</v>
      </c>
      <c r="B106" t="s">
        <v>610</v>
      </c>
      <c r="C106">
        <v>2017</v>
      </c>
      <c r="D106" t="s">
        <v>406</v>
      </c>
      <c r="E106" t="s">
        <v>35</v>
      </c>
      <c r="F106" t="s">
        <v>131</v>
      </c>
      <c r="G106" t="s">
        <v>21</v>
      </c>
      <c r="H106" t="s">
        <v>9</v>
      </c>
      <c r="I106" t="s">
        <v>611</v>
      </c>
      <c r="J106" t="s">
        <v>10</v>
      </c>
      <c r="K106" t="s">
        <v>22</v>
      </c>
      <c r="L106" t="s">
        <v>19</v>
      </c>
      <c r="M106">
        <v>233.86</v>
      </c>
      <c r="N106">
        <v>2</v>
      </c>
      <c r="O106">
        <v>0.45</v>
      </c>
      <c r="P106">
        <v>-102.048</v>
      </c>
      <c r="Q106" s="1">
        <v>-0.43636363636363601</v>
      </c>
      <c r="R106" t="s">
        <v>401</v>
      </c>
      <c r="S106" t="s">
        <v>402</v>
      </c>
    </row>
    <row r="107" spans="1:19" x14ac:dyDescent="0.3">
      <c r="A107">
        <v>237</v>
      </c>
      <c r="B107" t="s">
        <v>612</v>
      </c>
      <c r="C107">
        <v>2017</v>
      </c>
      <c r="D107" t="s">
        <v>392</v>
      </c>
      <c r="E107" t="s">
        <v>13</v>
      </c>
      <c r="F107" t="s">
        <v>132</v>
      </c>
      <c r="G107" t="s">
        <v>15</v>
      </c>
      <c r="H107" t="s">
        <v>16</v>
      </c>
      <c r="I107" t="s">
        <v>613</v>
      </c>
      <c r="J107" t="s">
        <v>17</v>
      </c>
      <c r="K107" t="s">
        <v>32</v>
      </c>
      <c r="L107" t="s">
        <v>19</v>
      </c>
      <c r="M107">
        <v>10.56</v>
      </c>
      <c r="N107">
        <v>2</v>
      </c>
      <c r="O107">
        <v>0</v>
      </c>
      <c r="P107">
        <v>4.7519999999999998</v>
      </c>
      <c r="Q107" s="1">
        <v>0.45</v>
      </c>
      <c r="R107" t="s">
        <v>4</v>
      </c>
      <c r="S107" t="s">
        <v>394</v>
      </c>
    </row>
    <row r="108" spans="1:19" x14ac:dyDescent="0.3">
      <c r="A108">
        <v>245</v>
      </c>
      <c r="B108" t="s">
        <v>614</v>
      </c>
      <c r="C108">
        <v>2014</v>
      </c>
      <c r="D108" t="s">
        <v>396</v>
      </c>
      <c r="E108" t="s">
        <v>35</v>
      </c>
      <c r="F108" t="s">
        <v>133</v>
      </c>
      <c r="G108" t="s">
        <v>59</v>
      </c>
      <c r="H108" t="s">
        <v>38</v>
      </c>
      <c r="I108" t="s">
        <v>522</v>
      </c>
      <c r="J108" t="s">
        <v>10</v>
      </c>
      <c r="K108" t="s">
        <v>12</v>
      </c>
      <c r="L108" t="s">
        <v>5</v>
      </c>
      <c r="M108">
        <v>2001.86</v>
      </c>
      <c r="N108">
        <v>7</v>
      </c>
      <c r="O108">
        <v>0</v>
      </c>
      <c r="P108">
        <v>580.5394</v>
      </c>
      <c r="Q108" s="1">
        <v>0.28999999999999998</v>
      </c>
      <c r="R108" t="s">
        <v>4</v>
      </c>
      <c r="S108" t="s">
        <v>394</v>
      </c>
    </row>
    <row r="109" spans="1:19" x14ac:dyDescent="0.3">
      <c r="A109">
        <v>250</v>
      </c>
      <c r="B109" t="s">
        <v>615</v>
      </c>
      <c r="C109">
        <v>2016</v>
      </c>
      <c r="D109" t="s">
        <v>410</v>
      </c>
      <c r="E109" t="s">
        <v>6</v>
      </c>
      <c r="F109" t="s">
        <v>43</v>
      </c>
      <c r="G109" t="s">
        <v>15</v>
      </c>
      <c r="H109" t="s">
        <v>16</v>
      </c>
      <c r="I109" t="s">
        <v>616</v>
      </c>
      <c r="J109" t="s">
        <v>10</v>
      </c>
      <c r="K109" t="s">
        <v>12</v>
      </c>
      <c r="L109" t="s">
        <v>5</v>
      </c>
      <c r="M109">
        <v>321.56799999999998</v>
      </c>
      <c r="N109">
        <v>2</v>
      </c>
      <c r="O109">
        <v>0.2</v>
      </c>
      <c r="P109">
        <v>28.1372</v>
      </c>
      <c r="Q109" s="1">
        <v>8.7499999999999994E-2</v>
      </c>
      <c r="R109" t="s">
        <v>4</v>
      </c>
      <c r="S109" t="s">
        <v>408</v>
      </c>
    </row>
    <row r="110" spans="1:19" x14ac:dyDescent="0.3">
      <c r="A110">
        <v>251</v>
      </c>
      <c r="B110" t="s">
        <v>617</v>
      </c>
      <c r="C110">
        <v>2016</v>
      </c>
      <c r="D110" t="s">
        <v>428</v>
      </c>
      <c r="E110" t="s">
        <v>6</v>
      </c>
      <c r="F110" t="s">
        <v>134</v>
      </c>
      <c r="G110" t="s">
        <v>15</v>
      </c>
      <c r="H110" t="s">
        <v>16</v>
      </c>
      <c r="I110" t="s">
        <v>618</v>
      </c>
      <c r="J110" t="s">
        <v>17</v>
      </c>
      <c r="K110" t="s">
        <v>32</v>
      </c>
      <c r="L110" t="s">
        <v>19</v>
      </c>
      <c r="M110">
        <v>7.61</v>
      </c>
      <c r="N110">
        <v>1</v>
      </c>
      <c r="O110">
        <v>0</v>
      </c>
      <c r="P110">
        <v>3.5767000000000002</v>
      </c>
      <c r="Q110" s="1">
        <v>0.47</v>
      </c>
      <c r="R110" t="s">
        <v>4</v>
      </c>
      <c r="S110" t="s">
        <v>394</v>
      </c>
    </row>
    <row r="111" spans="1:19" x14ac:dyDescent="0.3">
      <c r="A111">
        <v>255</v>
      </c>
      <c r="B111" t="s">
        <v>619</v>
      </c>
      <c r="C111">
        <v>2015</v>
      </c>
      <c r="D111" t="s">
        <v>392</v>
      </c>
      <c r="E111" t="s">
        <v>13</v>
      </c>
      <c r="F111" t="s">
        <v>70</v>
      </c>
      <c r="G111" t="s">
        <v>56</v>
      </c>
      <c r="H111" t="s">
        <v>38</v>
      </c>
      <c r="I111" t="s">
        <v>620</v>
      </c>
      <c r="J111" t="s">
        <v>10</v>
      </c>
      <c r="K111" t="s">
        <v>24</v>
      </c>
      <c r="L111" t="s">
        <v>19</v>
      </c>
      <c r="M111">
        <v>12.132</v>
      </c>
      <c r="N111">
        <v>9</v>
      </c>
      <c r="O111">
        <v>0.6</v>
      </c>
      <c r="P111">
        <v>-8.4923999999999999</v>
      </c>
      <c r="Q111" s="1">
        <v>-0.7</v>
      </c>
      <c r="R111" t="s">
        <v>401</v>
      </c>
      <c r="S111" t="s">
        <v>402</v>
      </c>
    </row>
    <row r="112" spans="1:19" x14ac:dyDescent="0.3">
      <c r="A112">
        <v>262</v>
      </c>
      <c r="B112" t="s">
        <v>621</v>
      </c>
      <c r="C112">
        <v>2017</v>
      </c>
      <c r="D112" t="s">
        <v>396</v>
      </c>
      <c r="E112" t="s">
        <v>13</v>
      </c>
      <c r="F112" t="s">
        <v>104</v>
      </c>
      <c r="G112" t="s">
        <v>37</v>
      </c>
      <c r="H112" t="s">
        <v>38</v>
      </c>
      <c r="I112" t="s">
        <v>622</v>
      </c>
      <c r="J112" t="s">
        <v>17</v>
      </c>
      <c r="K112" t="s">
        <v>29</v>
      </c>
      <c r="L112" t="s">
        <v>19</v>
      </c>
      <c r="M112">
        <v>1.6240000000000001</v>
      </c>
      <c r="N112">
        <v>2</v>
      </c>
      <c r="O112">
        <v>0.8</v>
      </c>
      <c r="P112">
        <v>-4.4660000000000002</v>
      </c>
      <c r="Q112" s="1">
        <v>-2.75</v>
      </c>
      <c r="R112" t="s">
        <v>401</v>
      </c>
      <c r="S112" t="s">
        <v>402</v>
      </c>
    </row>
    <row r="113" spans="1:19" x14ac:dyDescent="0.3">
      <c r="A113">
        <v>263</v>
      </c>
      <c r="B113" t="s">
        <v>623</v>
      </c>
      <c r="C113">
        <v>2014</v>
      </c>
      <c r="D113" t="s">
        <v>428</v>
      </c>
      <c r="E113" t="s">
        <v>13</v>
      </c>
      <c r="F113" t="s">
        <v>52</v>
      </c>
      <c r="G113" t="s">
        <v>37</v>
      </c>
      <c r="H113" t="s">
        <v>38</v>
      </c>
      <c r="I113" t="s">
        <v>624</v>
      </c>
      <c r="J113" t="s">
        <v>26</v>
      </c>
      <c r="K113" t="s">
        <v>114</v>
      </c>
      <c r="L113" t="s">
        <v>5</v>
      </c>
      <c r="M113">
        <v>3059.982</v>
      </c>
      <c r="N113">
        <v>3</v>
      </c>
      <c r="O113">
        <v>0.4</v>
      </c>
      <c r="P113">
        <v>-509.99700000000001</v>
      </c>
      <c r="Q113" s="1">
        <v>-0.16666666666666699</v>
      </c>
      <c r="R113" t="s">
        <v>401</v>
      </c>
      <c r="S113" t="s">
        <v>402</v>
      </c>
    </row>
    <row r="114" spans="1:19" x14ac:dyDescent="0.3">
      <c r="A114">
        <v>265</v>
      </c>
      <c r="B114" t="s">
        <v>625</v>
      </c>
      <c r="C114">
        <v>2016</v>
      </c>
      <c r="D114" t="s">
        <v>396</v>
      </c>
      <c r="E114" t="s">
        <v>6</v>
      </c>
      <c r="F114" t="s">
        <v>70</v>
      </c>
      <c r="G114" t="s">
        <v>56</v>
      </c>
      <c r="H114" t="s">
        <v>38</v>
      </c>
      <c r="I114" t="s">
        <v>626</v>
      </c>
      <c r="J114" t="s">
        <v>26</v>
      </c>
      <c r="K114" t="s">
        <v>27</v>
      </c>
      <c r="L114" t="s">
        <v>19</v>
      </c>
      <c r="M114">
        <v>328.22399999999999</v>
      </c>
      <c r="N114">
        <v>4</v>
      </c>
      <c r="O114">
        <v>0.2</v>
      </c>
      <c r="P114">
        <v>28.7196</v>
      </c>
      <c r="Q114" s="1">
        <v>8.7499999999999994E-2</v>
      </c>
      <c r="R114" t="s">
        <v>4</v>
      </c>
      <c r="S114" t="s">
        <v>408</v>
      </c>
    </row>
    <row r="115" spans="1:19" x14ac:dyDescent="0.3">
      <c r="A115">
        <v>266</v>
      </c>
      <c r="B115" t="s">
        <v>627</v>
      </c>
      <c r="C115">
        <v>2015</v>
      </c>
      <c r="D115" t="s">
        <v>392</v>
      </c>
      <c r="E115" t="s">
        <v>6</v>
      </c>
      <c r="F115" t="s">
        <v>135</v>
      </c>
      <c r="G115" t="s">
        <v>15</v>
      </c>
      <c r="H115" t="s">
        <v>16</v>
      </c>
      <c r="I115" t="s">
        <v>628</v>
      </c>
      <c r="J115" t="s">
        <v>26</v>
      </c>
      <c r="K115" t="s">
        <v>50</v>
      </c>
      <c r="L115" t="s">
        <v>19</v>
      </c>
      <c r="M115">
        <v>79.900000000000006</v>
      </c>
      <c r="N115">
        <v>2</v>
      </c>
      <c r="O115">
        <v>0</v>
      </c>
      <c r="P115">
        <v>35.155999999999999</v>
      </c>
      <c r="Q115" s="1">
        <v>0.44</v>
      </c>
      <c r="R115" t="s">
        <v>4</v>
      </c>
      <c r="S115" t="s">
        <v>394</v>
      </c>
    </row>
    <row r="116" spans="1:19" x14ac:dyDescent="0.3">
      <c r="A116">
        <v>267</v>
      </c>
      <c r="B116" t="s">
        <v>629</v>
      </c>
      <c r="C116">
        <v>2017</v>
      </c>
      <c r="D116" t="s">
        <v>396</v>
      </c>
      <c r="E116" t="s">
        <v>13</v>
      </c>
      <c r="F116" t="s">
        <v>136</v>
      </c>
      <c r="G116" t="s">
        <v>31</v>
      </c>
      <c r="H116" t="s">
        <v>9</v>
      </c>
      <c r="I116" t="s">
        <v>630</v>
      </c>
      <c r="J116" t="s">
        <v>17</v>
      </c>
      <c r="K116" t="s">
        <v>25</v>
      </c>
      <c r="L116" t="s">
        <v>19</v>
      </c>
      <c r="M116">
        <v>14.016</v>
      </c>
      <c r="N116">
        <v>3</v>
      </c>
      <c r="O116">
        <v>0.2</v>
      </c>
      <c r="P116">
        <v>4.7304000000000004</v>
      </c>
      <c r="Q116" s="1">
        <v>0.33750000000000002</v>
      </c>
      <c r="R116" t="s">
        <v>4</v>
      </c>
      <c r="S116" t="s">
        <v>408</v>
      </c>
    </row>
    <row r="117" spans="1:19" x14ac:dyDescent="0.3">
      <c r="A117">
        <v>268</v>
      </c>
      <c r="B117" t="s">
        <v>631</v>
      </c>
      <c r="C117">
        <v>2016</v>
      </c>
      <c r="D117" t="s">
        <v>430</v>
      </c>
      <c r="E117" t="s">
        <v>6</v>
      </c>
      <c r="F117" t="s">
        <v>137</v>
      </c>
      <c r="G117" t="s">
        <v>123</v>
      </c>
      <c r="H117" t="s">
        <v>48</v>
      </c>
      <c r="I117" t="s">
        <v>632</v>
      </c>
      <c r="J117" t="s">
        <v>17</v>
      </c>
      <c r="K117" t="s">
        <v>68</v>
      </c>
      <c r="L117" t="s">
        <v>19</v>
      </c>
      <c r="M117">
        <v>7.56</v>
      </c>
      <c r="N117">
        <v>6</v>
      </c>
      <c r="O117">
        <v>0</v>
      </c>
      <c r="P117">
        <v>0.3024</v>
      </c>
      <c r="Q117" s="1">
        <v>0.04</v>
      </c>
      <c r="R117" t="s">
        <v>4</v>
      </c>
      <c r="S117" t="s">
        <v>394</v>
      </c>
    </row>
    <row r="118" spans="1:19" x14ac:dyDescent="0.3">
      <c r="A118">
        <v>271</v>
      </c>
      <c r="B118" t="s">
        <v>633</v>
      </c>
      <c r="C118">
        <v>2017</v>
      </c>
      <c r="D118" t="s">
        <v>410</v>
      </c>
      <c r="E118" t="s">
        <v>13</v>
      </c>
      <c r="F118" t="s">
        <v>43</v>
      </c>
      <c r="G118" t="s">
        <v>15</v>
      </c>
      <c r="H118" t="s">
        <v>16</v>
      </c>
      <c r="I118" t="s">
        <v>634</v>
      </c>
      <c r="J118" t="s">
        <v>17</v>
      </c>
      <c r="K118" t="s">
        <v>23</v>
      </c>
      <c r="L118" t="s">
        <v>5</v>
      </c>
      <c r="M118">
        <v>725.84</v>
      </c>
      <c r="N118">
        <v>4</v>
      </c>
      <c r="O118">
        <v>0</v>
      </c>
      <c r="P118">
        <v>210.49359999999999</v>
      </c>
      <c r="Q118" s="1">
        <v>0.28999999999999998</v>
      </c>
      <c r="R118" t="s">
        <v>4</v>
      </c>
      <c r="S118" t="s">
        <v>394</v>
      </c>
    </row>
    <row r="119" spans="1:19" x14ac:dyDescent="0.3">
      <c r="A119">
        <v>272</v>
      </c>
      <c r="B119" t="s">
        <v>635</v>
      </c>
      <c r="C119">
        <v>2015</v>
      </c>
      <c r="D119" t="s">
        <v>425</v>
      </c>
      <c r="E119" t="s">
        <v>6</v>
      </c>
      <c r="F119" t="s">
        <v>43</v>
      </c>
      <c r="G119" t="s">
        <v>15</v>
      </c>
      <c r="H119" t="s">
        <v>16</v>
      </c>
      <c r="I119" t="s">
        <v>636</v>
      </c>
      <c r="J119" t="s">
        <v>26</v>
      </c>
      <c r="K119" t="s">
        <v>50</v>
      </c>
      <c r="L119" t="s">
        <v>53</v>
      </c>
      <c r="M119">
        <v>209.93</v>
      </c>
      <c r="N119">
        <v>7</v>
      </c>
      <c r="O119">
        <v>0</v>
      </c>
      <c r="P119">
        <v>92.369200000000006</v>
      </c>
      <c r="Q119" s="1">
        <v>0.44</v>
      </c>
      <c r="R119" t="s">
        <v>4</v>
      </c>
      <c r="S119" t="s">
        <v>394</v>
      </c>
    </row>
    <row r="120" spans="1:19" x14ac:dyDescent="0.3">
      <c r="A120">
        <v>275</v>
      </c>
      <c r="B120" t="s">
        <v>637</v>
      </c>
      <c r="C120">
        <v>2017</v>
      </c>
      <c r="D120" t="s">
        <v>428</v>
      </c>
      <c r="E120" t="s">
        <v>13</v>
      </c>
      <c r="F120" t="s">
        <v>139</v>
      </c>
      <c r="G120" t="s">
        <v>15</v>
      </c>
      <c r="H120" t="s">
        <v>16</v>
      </c>
      <c r="I120" t="s">
        <v>638</v>
      </c>
      <c r="J120" t="s">
        <v>17</v>
      </c>
      <c r="K120" t="s">
        <v>32</v>
      </c>
      <c r="L120" t="s">
        <v>53</v>
      </c>
      <c r="M120">
        <v>8.82</v>
      </c>
      <c r="N120">
        <v>2</v>
      </c>
      <c r="O120">
        <v>0</v>
      </c>
      <c r="P120">
        <v>4.0571999999999999</v>
      </c>
      <c r="Q120" s="1">
        <v>0.46</v>
      </c>
      <c r="R120" t="s">
        <v>4</v>
      </c>
      <c r="S120" t="s">
        <v>394</v>
      </c>
    </row>
    <row r="121" spans="1:19" x14ac:dyDescent="0.3">
      <c r="A121">
        <v>277</v>
      </c>
      <c r="B121" t="s">
        <v>639</v>
      </c>
      <c r="C121">
        <v>2017</v>
      </c>
      <c r="D121" t="s">
        <v>399</v>
      </c>
      <c r="E121" t="s">
        <v>13</v>
      </c>
      <c r="F121" t="s">
        <v>46</v>
      </c>
      <c r="G121" t="s">
        <v>47</v>
      </c>
      <c r="H121" t="s">
        <v>48</v>
      </c>
      <c r="I121" t="s">
        <v>640</v>
      </c>
      <c r="J121" t="s">
        <v>17</v>
      </c>
      <c r="K121" t="s">
        <v>32</v>
      </c>
      <c r="L121" t="s">
        <v>19</v>
      </c>
      <c r="M121">
        <v>11.648</v>
      </c>
      <c r="N121">
        <v>2</v>
      </c>
      <c r="O121">
        <v>0.2</v>
      </c>
      <c r="P121">
        <v>4.0768000000000004</v>
      </c>
      <c r="Q121" s="1">
        <v>0.35</v>
      </c>
      <c r="R121" t="s">
        <v>4</v>
      </c>
      <c r="S121" t="s">
        <v>408</v>
      </c>
    </row>
    <row r="122" spans="1:19" x14ac:dyDescent="0.3">
      <c r="A122">
        <v>281</v>
      </c>
      <c r="B122" t="s">
        <v>641</v>
      </c>
      <c r="C122">
        <v>2015</v>
      </c>
      <c r="D122" t="s">
        <v>428</v>
      </c>
      <c r="E122" t="s">
        <v>6</v>
      </c>
      <c r="F122" t="s">
        <v>52</v>
      </c>
      <c r="G122" t="s">
        <v>37</v>
      </c>
      <c r="H122" t="s">
        <v>38</v>
      </c>
      <c r="I122" t="s">
        <v>642</v>
      </c>
      <c r="J122" t="s">
        <v>17</v>
      </c>
      <c r="K122" t="s">
        <v>28</v>
      </c>
      <c r="L122" t="s">
        <v>5</v>
      </c>
      <c r="M122">
        <v>2.08</v>
      </c>
      <c r="N122">
        <v>5</v>
      </c>
      <c r="O122">
        <v>0.8</v>
      </c>
      <c r="P122">
        <v>-3.4319999999999999</v>
      </c>
      <c r="Q122" s="1">
        <v>-1.65</v>
      </c>
      <c r="R122" t="s">
        <v>401</v>
      </c>
      <c r="S122" t="s">
        <v>402</v>
      </c>
    </row>
    <row r="123" spans="1:19" x14ac:dyDescent="0.3">
      <c r="A123">
        <v>283</v>
      </c>
      <c r="B123" t="s">
        <v>643</v>
      </c>
      <c r="C123">
        <v>2015</v>
      </c>
      <c r="D123" t="s">
        <v>392</v>
      </c>
      <c r="E123" t="s">
        <v>6</v>
      </c>
      <c r="F123" t="s">
        <v>14</v>
      </c>
      <c r="G123" t="s">
        <v>15</v>
      </c>
      <c r="H123" t="s">
        <v>16</v>
      </c>
      <c r="I123" t="s">
        <v>644</v>
      </c>
      <c r="J123" t="s">
        <v>10</v>
      </c>
      <c r="K123" t="s">
        <v>22</v>
      </c>
      <c r="L123" t="s">
        <v>19</v>
      </c>
      <c r="M123">
        <v>1038.8399999999999</v>
      </c>
      <c r="N123">
        <v>5</v>
      </c>
      <c r="O123">
        <v>0.2</v>
      </c>
      <c r="P123">
        <v>51.942</v>
      </c>
      <c r="Q123" s="1">
        <v>0.05</v>
      </c>
      <c r="R123" t="s">
        <v>4</v>
      </c>
      <c r="S123" t="s">
        <v>408</v>
      </c>
    </row>
    <row r="124" spans="1:19" x14ac:dyDescent="0.3">
      <c r="A124">
        <v>287</v>
      </c>
      <c r="B124" t="s">
        <v>645</v>
      </c>
      <c r="C124">
        <v>2016</v>
      </c>
      <c r="D124" t="s">
        <v>410</v>
      </c>
      <c r="E124" t="s">
        <v>13</v>
      </c>
      <c r="F124" t="s">
        <v>140</v>
      </c>
      <c r="G124" t="s">
        <v>21</v>
      </c>
      <c r="H124" t="s">
        <v>9</v>
      </c>
      <c r="I124" t="s">
        <v>646</v>
      </c>
      <c r="J124" t="s">
        <v>17</v>
      </c>
      <c r="K124" t="s">
        <v>28</v>
      </c>
      <c r="L124" t="s">
        <v>5</v>
      </c>
      <c r="M124">
        <v>254.05799999999999</v>
      </c>
      <c r="N124">
        <v>7</v>
      </c>
      <c r="O124">
        <v>0.7</v>
      </c>
      <c r="P124">
        <v>-169.37200000000001</v>
      </c>
      <c r="Q124" s="1">
        <v>-0.66666666666666696</v>
      </c>
      <c r="R124" t="s">
        <v>401</v>
      </c>
      <c r="S124" t="s">
        <v>402</v>
      </c>
    </row>
    <row r="125" spans="1:19" x14ac:dyDescent="0.3">
      <c r="A125">
        <v>304</v>
      </c>
      <c r="B125" t="s">
        <v>647</v>
      </c>
      <c r="C125">
        <v>2017</v>
      </c>
      <c r="D125" t="s">
        <v>392</v>
      </c>
      <c r="E125" t="s">
        <v>6</v>
      </c>
      <c r="F125" t="s">
        <v>70</v>
      </c>
      <c r="G125" t="s">
        <v>56</v>
      </c>
      <c r="H125" t="s">
        <v>38</v>
      </c>
      <c r="I125" t="s">
        <v>648</v>
      </c>
      <c r="J125" t="s">
        <v>10</v>
      </c>
      <c r="K125" t="s">
        <v>22</v>
      </c>
      <c r="L125" t="s">
        <v>19</v>
      </c>
      <c r="M125">
        <v>219.07499999999999</v>
      </c>
      <c r="N125">
        <v>3</v>
      </c>
      <c r="O125">
        <v>0.5</v>
      </c>
      <c r="P125">
        <v>-131.44499999999999</v>
      </c>
      <c r="Q125" s="1">
        <v>-0.6</v>
      </c>
      <c r="R125" t="s">
        <v>401</v>
      </c>
      <c r="S125" t="s">
        <v>402</v>
      </c>
    </row>
    <row r="126" spans="1:19" x14ac:dyDescent="0.3">
      <c r="A126">
        <v>305</v>
      </c>
      <c r="B126" t="s">
        <v>649</v>
      </c>
      <c r="C126">
        <v>2015</v>
      </c>
      <c r="D126" t="s">
        <v>417</v>
      </c>
      <c r="E126" t="s">
        <v>13</v>
      </c>
      <c r="F126" t="s">
        <v>66</v>
      </c>
      <c r="G126" t="s">
        <v>67</v>
      </c>
      <c r="H126" t="s">
        <v>48</v>
      </c>
      <c r="I126" t="s">
        <v>650</v>
      </c>
      <c r="J126" t="s">
        <v>10</v>
      </c>
      <c r="K126" t="s">
        <v>24</v>
      </c>
      <c r="L126" t="s">
        <v>5</v>
      </c>
      <c r="M126">
        <v>26.8</v>
      </c>
      <c r="N126">
        <v>2</v>
      </c>
      <c r="O126">
        <v>0</v>
      </c>
      <c r="P126">
        <v>12.864000000000001</v>
      </c>
      <c r="Q126" s="1">
        <v>0.48</v>
      </c>
      <c r="R126" t="s">
        <v>4</v>
      </c>
      <c r="S126" t="s">
        <v>394</v>
      </c>
    </row>
    <row r="127" spans="1:19" x14ac:dyDescent="0.3">
      <c r="A127">
        <v>306</v>
      </c>
      <c r="B127" t="s">
        <v>651</v>
      </c>
      <c r="C127">
        <v>2014</v>
      </c>
      <c r="D127" t="s">
        <v>410</v>
      </c>
      <c r="E127" t="s">
        <v>13</v>
      </c>
      <c r="F127" t="s">
        <v>143</v>
      </c>
      <c r="G127" t="s">
        <v>61</v>
      </c>
      <c r="H127" t="s">
        <v>38</v>
      </c>
      <c r="I127" t="s">
        <v>652</v>
      </c>
      <c r="J127" t="s">
        <v>17</v>
      </c>
      <c r="K127" t="s">
        <v>25</v>
      </c>
      <c r="L127" t="s">
        <v>19</v>
      </c>
      <c r="M127">
        <v>9.84</v>
      </c>
      <c r="N127">
        <v>3</v>
      </c>
      <c r="O127">
        <v>0</v>
      </c>
      <c r="P127">
        <v>2.8536000000000001</v>
      </c>
      <c r="Q127" s="1">
        <v>0.28999999999999998</v>
      </c>
      <c r="R127" t="s">
        <v>4</v>
      </c>
      <c r="S127" t="s">
        <v>394</v>
      </c>
    </row>
    <row r="128" spans="1:19" x14ac:dyDescent="0.3">
      <c r="A128">
        <v>310</v>
      </c>
      <c r="B128" t="s">
        <v>653</v>
      </c>
      <c r="C128">
        <v>2016</v>
      </c>
      <c r="D128" t="s">
        <v>428</v>
      </c>
      <c r="E128" t="s">
        <v>13</v>
      </c>
      <c r="F128" t="s">
        <v>146</v>
      </c>
      <c r="G128" t="s">
        <v>89</v>
      </c>
      <c r="H128" t="s">
        <v>16</v>
      </c>
      <c r="I128" t="s">
        <v>654</v>
      </c>
      <c r="J128" t="s">
        <v>10</v>
      </c>
      <c r="K128" t="s">
        <v>24</v>
      </c>
      <c r="L128" t="s">
        <v>5</v>
      </c>
      <c r="M128">
        <v>15.135999999999999</v>
      </c>
      <c r="N128">
        <v>4</v>
      </c>
      <c r="O128">
        <v>0.2</v>
      </c>
      <c r="P128">
        <v>3.5948000000000002</v>
      </c>
      <c r="Q128" s="1">
        <v>0.23749999999999999</v>
      </c>
      <c r="R128" t="s">
        <v>4</v>
      </c>
      <c r="S128" t="s">
        <v>408</v>
      </c>
    </row>
    <row r="129" spans="1:19" x14ac:dyDescent="0.3">
      <c r="A129">
        <v>314</v>
      </c>
      <c r="B129" t="s">
        <v>655</v>
      </c>
      <c r="C129">
        <v>2014</v>
      </c>
      <c r="D129" t="s">
        <v>428</v>
      </c>
      <c r="E129" t="s">
        <v>13</v>
      </c>
      <c r="F129" t="s">
        <v>147</v>
      </c>
      <c r="G129" t="s">
        <v>123</v>
      </c>
      <c r="H129" t="s">
        <v>48</v>
      </c>
      <c r="I129" t="s">
        <v>656</v>
      </c>
      <c r="J129" t="s">
        <v>10</v>
      </c>
      <c r="K129" t="s">
        <v>24</v>
      </c>
      <c r="L129" t="s">
        <v>19</v>
      </c>
      <c r="M129">
        <v>87.54</v>
      </c>
      <c r="N129">
        <v>3</v>
      </c>
      <c r="O129">
        <v>0</v>
      </c>
      <c r="P129">
        <v>37.642200000000003</v>
      </c>
      <c r="Q129" s="1">
        <v>0.43</v>
      </c>
      <c r="R129" t="s">
        <v>4</v>
      </c>
      <c r="S129" t="s">
        <v>394</v>
      </c>
    </row>
    <row r="130" spans="1:19" x14ac:dyDescent="0.3">
      <c r="A130">
        <v>315</v>
      </c>
      <c r="B130" t="s">
        <v>657</v>
      </c>
      <c r="C130">
        <v>2014</v>
      </c>
      <c r="D130" t="s">
        <v>420</v>
      </c>
      <c r="E130" t="s">
        <v>13</v>
      </c>
      <c r="F130" t="s">
        <v>148</v>
      </c>
      <c r="G130" t="s">
        <v>21</v>
      </c>
      <c r="H130" t="s">
        <v>9</v>
      </c>
      <c r="I130" t="s">
        <v>658</v>
      </c>
      <c r="J130" t="s">
        <v>26</v>
      </c>
      <c r="K130" t="s">
        <v>27</v>
      </c>
      <c r="L130" t="s">
        <v>19</v>
      </c>
      <c r="M130">
        <v>178.38399999999999</v>
      </c>
      <c r="N130">
        <v>2</v>
      </c>
      <c r="O130">
        <v>0.2</v>
      </c>
      <c r="P130">
        <v>22.297999999999998</v>
      </c>
      <c r="Q130" s="1">
        <v>0.125</v>
      </c>
      <c r="R130" t="s">
        <v>4</v>
      </c>
      <c r="S130" t="s">
        <v>408</v>
      </c>
    </row>
    <row r="131" spans="1:19" x14ac:dyDescent="0.3">
      <c r="A131">
        <v>317</v>
      </c>
      <c r="B131" t="s">
        <v>659</v>
      </c>
      <c r="C131">
        <v>2014</v>
      </c>
      <c r="D131" t="s">
        <v>410</v>
      </c>
      <c r="E131" t="s">
        <v>13</v>
      </c>
      <c r="F131" t="s">
        <v>46</v>
      </c>
      <c r="G131" t="s">
        <v>47</v>
      </c>
      <c r="H131" t="s">
        <v>48</v>
      </c>
      <c r="I131" t="s">
        <v>660</v>
      </c>
      <c r="J131" t="s">
        <v>17</v>
      </c>
      <c r="K131" t="s">
        <v>25</v>
      </c>
      <c r="L131" t="s">
        <v>53</v>
      </c>
      <c r="M131">
        <v>99.135999999999996</v>
      </c>
      <c r="N131">
        <v>4</v>
      </c>
      <c r="O131">
        <v>0.2</v>
      </c>
      <c r="P131">
        <v>8.6744000000000003</v>
      </c>
      <c r="Q131" s="1">
        <v>8.7499999999999994E-2</v>
      </c>
      <c r="R131" t="s">
        <v>4</v>
      </c>
      <c r="S131" t="s">
        <v>408</v>
      </c>
    </row>
    <row r="132" spans="1:19" x14ac:dyDescent="0.3">
      <c r="A132">
        <v>318</v>
      </c>
      <c r="B132" t="s">
        <v>661</v>
      </c>
      <c r="C132">
        <v>2014</v>
      </c>
      <c r="D132" t="s">
        <v>392</v>
      </c>
      <c r="E132" t="s">
        <v>35</v>
      </c>
      <c r="F132" t="s">
        <v>66</v>
      </c>
      <c r="G132" t="s">
        <v>67</v>
      </c>
      <c r="H132" t="s">
        <v>48</v>
      </c>
      <c r="I132" t="s">
        <v>662</v>
      </c>
      <c r="J132" t="s">
        <v>10</v>
      </c>
      <c r="K132" t="s">
        <v>12</v>
      </c>
      <c r="L132" t="s">
        <v>19</v>
      </c>
      <c r="M132">
        <v>135.88200000000001</v>
      </c>
      <c r="N132">
        <v>1</v>
      </c>
      <c r="O132">
        <v>0.1</v>
      </c>
      <c r="P132">
        <v>24.1568</v>
      </c>
      <c r="Q132" s="1">
        <v>0.17777777777777801</v>
      </c>
      <c r="R132" t="s">
        <v>4</v>
      </c>
      <c r="S132" t="s">
        <v>394</v>
      </c>
    </row>
    <row r="133" spans="1:19" x14ac:dyDescent="0.3">
      <c r="A133">
        <v>324</v>
      </c>
      <c r="B133" t="s">
        <v>663</v>
      </c>
      <c r="C133">
        <v>2016</v>
      </c>
      <c r="D133" t="s">
        <v>406</v>
      </c>
      <c r="E133" t="s">
        <v>13</v>
      </c>
      <c r="F133" t="s">
        <v>150</v>
      </c>
      <c r="G133" t="s">
        <v>15</v>
      </c>
      <c r="H133" t="s">
        <v>16</v>
      </c>
      <c r="I133" t="s">
        <v>664</v>
      </c>
      <c r="J133" t="s">
        <v>17</v>
      </c>
      <c r="K133" t="s">
        <v>28</v>
      </c>
      <c r="L133" t="s">
        <v>19</v>
      </c>
      <c r="M133">
        <v>251.52</v>
      </c>
      <c r="N133">
        <v>6</v>
      </c>
      <c r="O133">
        <v>0.2</v>
      </c>
      <c r="P133">
        <v>81.744</v>
      </c>
      <c r="Q133" s="1">
        <v>0.32500000000000001</v>
      </c>
      <c r="R133" t="s">
        <v>4</v>
      </c>
      <c r="S133" t="s">
        <v>408</v>
      </c>
    </row>
    <row r="134" spans="1:19" x14ac:dyDescent="0.3">
      <c r="A134">
        <v>326</v>
      </c>
      <c r="B134" t="s">
        <v>665</v>
      </c>
      <c r="C134">
        <v>2017</v>
      </c>
      <c r="D134" t="s">
        <v>392</v>
      </c>
      <c r="E134" t="s">
        <v>13</v>
      </c>
      <c r="F134" t="s">
        <v>151</v>
      </c>
      <c r="G134" t="s">
        <v>77</v>
      </c>
      <c r="H134" t="s">
        <v>9</v>
      </c>
      <c r="I134" t="s">
        <v>666</v>
      </c>
      <c r="J134" t="s">
        <v>10</v>
      </c>
      <c r="K134" t="s">
        <v>24</v>
      </c>
      <c r="L134" t="s">
        <v>5</v>
      </c>
      <c r="M134">
        <v>15.992000000000001</v>
      </c>
      <c r="N134">
        <v>1</v>
      </c>
      <c r="O134">
        <v>0.2</v>
      </c>
      <c r="P134">
        <v>0.99950000000000006</v>
      </c>
      <c r="Q134" s="1">
        <v>6.25E-2</v>
      </c>
      <c r="R134" t="s">
        <v>4</v>
      </c>
      <c r="S134" t="s">
        <v>408</v>
      </c>
    </row>
    <row r="135" spans="1:19" x14ac:dyDescent="0.3">
      <c r="A135">
        <v>327</v>
      </c>
      <c r="B135" t="s">
        <v>667</v>
      </c>
      <c r="C135">
        <v>2016</v>
      </c>
      <c r="D135" t="s">
        <v>420</v>
      </c>
      <c r="E135" t="s">
        <v>6</v>
      </c>
      <c r="F135" t="s">
        <v>46</v>
      </c>
      <c r="G135" t="s">
        <v>47</v>
      </c>
      <c r="H135" t="s">
        <v>48</v>
      </c>
      <c r="I135" t="s">
        <v>668</v>
      </c>
      <c r="J135" t="s">
        <v>26</v>
      </c>
      <c r="K135" t="s">
        <v>27</v>
      </c>
      <c r="L135" t="s">
        <v>53</v>
      </c>
      <c r="M135">
        <v>290.89800000000002</v>
      </c>
      <c r="N135">
        <v>3</v>
      </c>
      <c r="O135">
        <v>0.4</v>
      </c>
      <c r="P135">
        <v>-67.876199999999997</v>
      </c>
      <c r="Q135" s="1">
        <v>-0.233333333333333</v>
      </c>
      <c r="R135" t="s">
        <v>401</v>
      </c>
      <c r="S135" t="s">
        <v>402</v>
      </c>
    </row>
    <row r="136" spans="1:19" x14ac:dyDescent="0.3">
      <c r="A136">
        <v>332</v>
      </c>
      <c r="B136" t="s">
        <v>669</v>
      </c>
      <c r="C136">
        <v>2016</v>
      </c>
      <c r="D136" t="s">
        <v>406</v>
      </c>
      <c r="E136" t="s">
        <v>6</v>
      </c>
      <c r="F136" t="s">
        <v>46</v>
      </c>
      <c r="G136" t="s">
        <v>47</v>
      </c>
      <c r="H136" t="s">
        <v>48</v>
      </c>
      <c r="I136" t="s">
        <v>670</v>
      </c>
      <c r="J136" t="s">
        <v>26</v>
      </c>
      <c r="K136" t="s">
        <v>27</v>
      </c>
      <c r="L136" t="s">
        <v>5</v>
      </c>
      <c r="M136">
        <v>82.8</v>
      </c>
      <c r="N136">
        <v>2</v>
      </c>
      <c r="O136">
        <v>0.4</v>
      </c>
      <c r="P136">
        <v>-20.7</v>
      </c>
      <c r="Q136" s="1">
        <v>-0.25</v>
      </c>
      <c r="R136" t="s">
        <v>401</v>
      </c>
      <c r="S136" t="s">
        <v>402</v>
      </c>
    </row>
    <row r="137" spans="1:19" x14ac:dyDescent="0.3">
      <c r="A137">
        <v>335</v>
      </c>
      <c r="B137" t="s">
        <v>671</v>
      </c>
      <c r="C137">
        <v>2015</v>
      </c>
      <c r="D137" t="s">
        <v>428</v>
      </c>
      <c r="E137" t="s">
        <v>6</v>
      </c>
      <c r="F137" t="s">
        <v>14</v>
      </c>
      <c r="G137" t="s">
        <v>15</v>
      </c>
      <c r="H137" t="s">
        <v>16</v>
      </c>
      <c r="I137" t="s">
        <v>672</v>
      </c>
      <c r="J137" t="s">
        <v>17</v>
      </c>
      <c r="K137" t="s">
        <v>28</v>
      </c>
      <c r="L137" t="s">
        <v>5</v>
      </c>
      <c r="M137">
        <v>4.7519999999999998</v>
      </c>
      <c r="N137">
        <v>1</v>
      </c>
      <c r="O137">
        <v>0.2</v>
      </c>
      <c r="P137">
        <v>1.6037999999999999</v>
      </c>
      <c r="Q137" s="1">
        <v>0.33750000000000002</v>
      </c>
      <c r="R137" t="s">
        <v>4</v>
      </c>
      <c r="S137" t="s">
        <v>408</v>
      </c>
    </row>
    <row r="138" spans="1:19" x14ac:dyDescent="0.3">
      <c r="A138">
        <v>338</v>
      </c>
      <c r="B138" t="s">
        <v>673</v>
      </c>
      <c r="C138">
        <v>2014</v>
      </c>
      <c r="D138" t="s">
        <v>425</v>
      </c>
      <c r="E138" t="s">
        <v>13</v>
      </c>
      <c r="F138" t="s">
        <v>43</v>
      </c>
      <c r="G138" t="s">
        <v>15</v>
      </c>
      <c r="H138" t="s">
        <v>16</v>
      </c>
      <c r="I138" t="s">
        <v>674</v>
      </c>
      <c r="J138" t="s">
        <v>17</v>
      </c>
      <c r="K138" t="s">
        <v>28</v>
      </c>
      <c r="L138" t="s">
        <v>19</v>
      </c>
      <c r="M138">
        <v>7.7119999999999997</v>
      </c>
      <c r="N138">
        <v>2</v>
      </c>
      <c r="O138">
        <v>0.2</v>
      </c>
      <c r="P138">
        <v>2.7955999999999999</v>
      </c>
      <c r="Q138" s="1">
        <v>0.36249999999999999</v>
      </c>
      <c r="R138" t="s">
        <v>4</v>
      </c>
      <c r="S138" t="s">
        <v>408</v>
      </c>
    </row>
    <row r="139" spans="1:19" x14ac:dyDescent="0.3">
      <c r="A139">
        <v>340</v>
      </c>
      <c r="B139" t="s">
        <v>675</v>
      </c>
      <c r="C139">
        <v>2015</v>
      </c>
      <c r="D139" t="s">
        <v>396</v>
      </c>
      <c r="E139" t="s">
        <v>6</v>
      </c>
      <c r="F139" t="s">
        <v>153</v>
      </c>
      <c r="G139" t="s">
        <v>42</v>
      </c>
      <c r="H139" t="s">
        <v>16</v>
      </c>
      <c r="I139" t="s">
        <v>676</v>
      </c>
      <c r="J139" t="s">
        <v>17</v>
      </c>
      <c r="K139" t="s">
        <v>68</v>
      </c>
      <c r="L139" t="s">
        <v>5</v>
      </c>
      <c r="M139">
        <v>4.96</v>
      </c>
      <c r="N139">
        <v>4</v>
      </c>
      <c r="O139">
        <v>0</v>
      </c>
      <c r="P139">
        <v>2.3311999999999999</v>
      </c>
      <c r="Q139" s="1">
        <v>0.47</v>
      </c>
      <c r="R139" t="s">
        <v>4</v>
      </c>
      <c r="S139" t="s">
        <v>394</v>
      </c>
    </row>
    <row r="140" spans="1:19" x14ac:dyDescent="0.3">
      <c r="A140">
        <v>341</v>
      </c>
      <c r="B140" t="s">
        <v>677</v>
      </c>
      <c r="C140">
        <v>2014</v>
      </c>
      <c r="D140" t="s">
        <v>406</v>
      </c>
      <c r="E140" t="s">
        <v>13</v>
      </c>
      <c r="F140" t="s">
        <v>46</v>
      </c>
      <c r="G140" t="s">
        <v>47</v>
      </c>
      <c r="H140" t="s">
        <v>48</v>
      </c>
      <c r="I140" t="s">
        <v>678</v>
      </c>
      <c r="J140" t="s">
        <v>17</v>
      </c>
      <c r="K140" t="s">
        <v>25</v>
      </c>
      <c r="L140" t="s">
        <v>5</v>
      </c>
      <c r="M140">
        <v>17.856000000000002</v>
      </c>
      <c r="N140">
        <v>4</v>
      </c>
      <c r="O140">
        <v>0.2</v>
      </c>
      <c r="P140">
        <v>1.1160000000000001</v>
      </c>
      <c r="Q140" s="1">
        <v>6.25E-2</v>
      </c>
      <c r="R140" t="s">
        <v>4</v>
      </c>
      <c r="S140" t="s">
        <v>408</v>
      </c>
    </row>
    <row r="141" spans="1:19" x14ac:dyDescent="0.3">
      <c r="A141">
        <v>345</v>
      </c>
      <c r="B141" t="s">
        <v>679</v>
      </c>
      <c r="C141">
        <v>2015</v>
      </c>
      <c r="D141" t="s">
        <v>410</v>
      </c>
      <c r="E141" t="s">
        <v>6</v>
      </c>
      <c r="F141" t="s">
        <v>154</v>
      </c>
      <c r="G141" t="s">
        <v>37</v>
      </c>
      <c r="H141" t="s">
        <v>38</v>
      </c>
      <c r="I141" t="s">
        <v>418</v>
      </c>
      <c r="J141" t="s">
        <v>17</v>
      </c>
      <c r="K141" t="s">
        <v>23</v>
      </c>
      <c r="L141" t="s">
        <v>19</v>
      </c>
      <c r="M141">
        <v>88.8</v>
      </c>
      <c r="N141">
        <v>4</v>
      </c>
      <c r="O141">
        <v>0.2</v>
      </c>
      <c r="P141">
        <v>-2.2200000000000002</v>
      </c>
      <c r="Q141" s="1">
        <v>-2.5000000000000001E-2</v>
      </c>
      <c r="R141" t="s">
        <v>401</v>
      </c>
      <c r="S141" t="s">
        <v>408</v>
      </c>
    </row>
    <row r="142" spans="1:19" x14ac:dyDescent="0.3">
      <c r="A142">
        <v>346</v>
      </c>
      <c r="B142" t="s">
        <v>680</v>
      </c>
      <c r="C142">
        <v>2017</v>
      </c>
      <c r="D142" t="s">
        <v>396</v>
      </c>
      <c r="E142" t="s">
        <v>6</v>
      </c>
      <c r="F142" t="s">
        <v>43</v>
      </c>
      <c r="G142" t="s">
        <v>15</v>
      </c>
      <c r="H142" t="s">
        <v>16</v>
      </c>
      <c r="I142" t="s">
        <v>530</v>
      </c>
      <c r="J142" t="s">
        <v>26</v>
      </c>
      <c r="K142" t="s">
        <v>27</v>
      </c>
      <c r="L142" t="s">
        <v>19</v>
      </c>
      <c r="M142">
        <v>47.975999999999999</v>
      </c>
      <c r="N142">
        <v>3</v>
      </c>
      <c r="O142">
        <v>0.2</v>
      </c>
      <c r="P142">
        <v>4.7976000000000001</v>
      </c>
      <c r="Q142" s="1">
        <v>0.1</v>
      </c>
      <c r="R142" t="s">
        <v>4</v>
      </c>
      <c r="S142" t="s">
        <v>408</v>
      </c>
    </row>
    <row r="143" spans="1:19" x14ac:dyDescent="0.3">
      <c r="A143">
        <v>347</v>
      </c>
      <c r="B143" t="s">
        <v>681</v>
      </c>
      <c r="C143">
        <v>2017</v>
      </c>
      <c r="D143" t="s">
        <v>425</v>
      </c>
      <c r="E143" t="s">
        <v>6</v>
      </c>
      <c r="F143" t="s">
        <v>155</v>
      </c>
      <c r="G143" t="s">
        <v>156</v>
      </c>
      <c r="H143" t="s">
        <v>48</v>
      </c>
      <c r="I143" t="s">
        <v>682</v>
      </c>
      <c r="J143" t="s">
        <v>17</v>
      </c>
      <c r="K143" t="s">
        <v>25</v>
      </c>
      <c r="L143" t="s">
        <v>19</v>
      </c>
      <c r="M143">
        <v>7.56</v>
      </c>
      <c r="N143">
        <v>3</v>
      </c>
      <c r="O143">
        <v>0</v>
      </c>
      <c r="P143">
        <v>3.0996000000000001</v>
      </c>
      <c r="Q143" s="1">
        <v>0.41</v>
      </c>
      <c r="R143" t="s">
        <v>4</v>
      </c>
      <c r="S143" t="s">
        <v>394</v>
      </c>
    </row>
    <row r="144" spans="1:19" x14ac:dyDescent="0.3">
      <c r="A144">
        <v>350</v>
      </c>
      <c r="B144" t="s">
        <v>683</v>
      </c>
      <c r="C144">
        <v>2016</v>
      </c>
      <c r="D144" t="s">
        <v>428</v>
      </c>
      <c r="E144" t="s">
        <v>35</v>
      </c>
      <c r="F144" t="s">
        <v>66</v>
      </c>
      <c r="G144" t="s">
        <v>67</v>
      </c>
      <c r="H144" t="s">
        <v>48</v>
      </c>
      <c r="I144" t="s">
        <v>684</v>
      </c>
      <c r="J144" t="s">
        <v>26</v>
      </c>
      <c r="K144" t="s">
        <v>50</v>
      </c>
      <c r="L144" t="s">
        <v>53</v>
      </c>
      <c r="M144">
        <v>6.79</v>
      </c>
      <c r="N144">
        <v>1</v>
      </c>
      <c r="O144">
        <v>0</v>
      </c>
      <c r="P144">
        <v>2.3086000000000002</v>
      </c>
      <c r="Q144" s="1">
        <v>0.34</v>
      </c>
      <c r="R144" t="s">
        <v>4</v>
      </c>
      <c r="S144" t="s">
        <v>394</v>
      </c>
    </row>
    <row r="145" spans="1:19" x14ac:dyDescent="0.3">
      <c r="A145">
        <v>355</v>
      </c>
      <c r="B145" t="s">
        <v>685</v>
      </c>
      <c r="C145">
        <v>2016</v>
      </c>
      <c r="D145" t="s">
        <v>406</v>
      </c>
      <c r="E145" t="s">
        <v>6</v>
      </c>
      <c r="F145" t="s">
        <v>66</v>
      </c>
      <c r="G145" t="s">
        <v>67</v>
      </c>
      <c r="H145" t="s">
        <v>48</v>
      </c>
      <c r="I145" t="s">
        <v>686</v>
      </c>
      <c r="J145" t="s">
        <v>10</v>
      </c>
      <c r="K145" t="s">
        <v>11</v>
      </c>
      <c r="L145" t="s">
        <v>19</v>
      </c>
      <c r="M145">
        <v>388.70400000000001</v>
      </c>
      <c r="N145">
        <v>6</v>
      </c>
      <c r="O145">
        <v>0.2</v>
      </c>
      <c r="P145">
        <v>-4.8587999999999996</v>
      </c>
      <c r="Q145" s="1">
        <v>-1.2500000000000001E-2</v>
      </c>
      <c r="R145" t="s">
        <v>401</v>
      </c>
      <c r="S145" t="s">
        <v>408</v>
      </c>
    </row>
    <row r="146" spans="1:19" x14ac:dyDescent="0.3">
      <c r="A146">
        <v>360</v>
      </c>
      <c r="B146" t="s">
        <v>687</v>
      </c>
      <c r="C146">
        <v>2017</v>
      </c>
      <c r="D146" t="s">
        <v>447</v>
      </c>
      <c r="E146" t="s">
        <v>13</v>
      </c>
      <c r="F146" t="s">
        <v>94</v>
      </c>
      <c r="G146" t="s">
        <v>157</v>
      </c>
      <c r="H146" t="s">
        <v>9</v>
      </c>
      <c r="I146" t="s">
        <v>688</v>
      </c>
      <c r="J146" t="s">
        <v>17</v>
      </c>
      <c r="K146" t="s">
        <v>29</v>
      </c>
      <c r="L146" t="s">
        <v>53</v>
      </c>
      <c r="M146">
        <v>647.84</v>
      </c>
      <c r="N146">
        <v>8</v>
      </c>
      <c r="O146">
        <v>0</v>
      </c>
      <c r="P146">
        <v>168.4384</v>
      </c>
      <c r="Q146" s="1">
        <v>0.26</v>
      </c>
      <c r="R146" t="s">
        <v>4</v>
      </c>
      <c r="S146" t="s">
        <v>394</v>
      </c>
    </row>
    <row r="147" spans="1:19" x14ac:dyDescent="0.3">
      <c r="A147">
        <v>362</v>
      </c>
      <c r="B147" t="s">
        <v>689</v>
      </c>
      <c r="C147">
        <v>2017</v>
      </c>
      <c r="D147" t="s">
        <v>428</v>
      </c>
      <c r="E147" t="s">
        <v>6</v>
      </c>
      <c r="F147" t="s">
        <v>66</v>
      </c>
      <c r="G147" t="s">
        <v>67</v>
      </c>
      <c r="H147" t="s">
        <v>48</v>
      </c>
      <c r="I147" t="s">
        <v>690</v>
      </c>
      <c r="J147" t="s">
        <v>17</v>
      </c>
      <c r="K147" t="s">
        <v>18</v>
      </c>
      <c r="L147" t="s">
        <v>19</v>
      </c>
      <c r="M147">
        <v>20.7</v>
      </c>
      <c r="N147">
        <v>2</v>
      </c>
      <c r="O147">
        <v>0</v>
      </c>
      <c r="P147">
        <v>9.9359999999999999</v>
      </c>
      <c r="Q147" s="1">
        <v>0.48</v>
      </c>
      <c r="R147" t="s">
        <v>4</v>
      </c>
      <c r="S147" t="s">
        <v>394</v>
      </c>
    </row>
    <row r="148" spans="1:19" x14ac:dyDescent="0.3">
      <c r="A148">
        <v>366</v>
      </c>
      <c r="B148" t="s">
        <v>691</v>
      </c>
      <c r="C148">
        <v>2014</v>
      </c>
      <c r="D148" t="s">
        <v>428</v>
      </c>
      <c r="E148" t="s">
        <v>6</v>
      </c>
      <c r="F148" t="s">
        <v>43</v>
      </c>
      <c r="G148" t="s">
        <v>15</v>
      </c>
      <c r="H148" t="s">
        <v>16</v>
      </c>
      <c r="I148" t="s">
        <v>450</v>
      </c>
      <c r="J148" t="s">
        <v>17</v>
      </c>
      <c r="K148" t="s">
        <v>23</v>
      </c>
      <c r="L148" t="s">
        <v>19</v>
      </c>
      <c r="M148">
        <v>211.96</v>
      </c>
      <c r="N148">
        <v>4</v>
      </c>
      <c r="O148">
        <v>0</v>
      </c>
      <c r="P148">
        <v>8.4784000000000006</v>
      </c>
      <c r="Q148" s="1">
        <v>0.04</v>
      </c>
      <c r="R148" t="s">
        <v>4</v>
      </c>
      <c r="S148" t="s">
        <v>394</v>
      </c>
    </row>
    <row r="149" spans="1:19" x14ac:dyDescent="0.3">
      <c r="A149">
        <v>367</v>
      </c>
      <c r="B149" t="s">
        <v>692</v>
      </c>
      <c r="C149">
        <v>2016</v>
      </c>
      <c r="D149" t="s">
        <v>399</v>
      </c>
      <c r="E149" t="s">
        <v>13</v>
      </c>
      <c r="F149" t="s">
        <v>159</v>
      </c>
      <c r="G149" t="s">
        <v>118</v>
      </c>
      <c r="H149" t="s">
        <v>48</v>
      </c>
      <c r="I149" t="s">
        <v>693</v>
      </c>
      <c r="J149" t="s">
        <v>17</v>
      </c>
      <c r="K149" t="s">
        <v>28</v>
      </c>
      <c r="L149" t="s">
        <v>158</v>
      </c>
      <c r="M149">
        <v>23.2</v>
      </c>
      <c r="N149">
        <v>4</v>
      </c>
      <c r="O149">
        <v>0</v>
      </c>
      <c r="P149">
        <v>10.44</v>
      </c>
      <c r="Q149" s="1">
        <v>0.45</v>
      </c>
      <c r="R149" t="s">
        <v>4</v>
      </c>
      <c r="S149" t="s">
        <v>394</v>
      </c>
    </row>
    <row r="150" spans="1:19" x14ac:dyDescent="0.3">
      <c r="A150">
        <v>371</v>
      </c>
      <c r="B150" t="s">
        <v>694</v>
      </c>
      <c r="C150">
        <v>2017</v>
      </c>
      <c r="D150" t="s">
        <v>417</v>
      </c>
      <c r="E150" t="s">
        <v>6</v>
      </c>
      <c r="F150" t="s">
        <v>160</v>
      </c>
      <c r="G150" t="s">
        <v>37</v>
      </c>
      <c r="H150" t="s">
        <v>38</v>
      </c>
      <c r="I150" t="s">
        <v>695</v>
      </c>
      <c r="J150" t="s">
        <v>17</v>
      </c>
      <c r="K150" t="s">
        <v>32</v>
      </c>
      <c r="L150" t="s">
        <v>19</v>
      </c>
      <c r="M150">
        <v>25.92</v>
      </c>
      <c r="N150">
        <v>5</v>
      </c>
      <c r="O150">
        <v>0.2</v>
      </c>
      <c r="P150">
        <v>9.3960000000000008</v>
      </c>
      <c r="Q150" s="1">
        <v>0.36249999999999999</v>
      </c>
      <c r="R150" t="s">
        <v>4</v>
      </c>
      <c r="S150" t="s">
        <v>408</v>
      </c>
    </row>
    <row r="151" spans="1:19" x14ac:dyDescent="0.3">
      <c r="A151">
        <v>373</v>
      </c>
      <c r="B151" t="s">
        <v>696</v>
      </c>
      <c r="C151">
        <v>2014</v>
      </c>
      <c r="D151" t="s">
        <v>425</v>
      </c>
      <c r="E151" t="s">
        <v>6</v>
      </c>
      <c r="F151" t="s">
        <v>161</v>
      </c>
      <c r="G151" t="s">
        <v>72</v>
      </c>
      <c r="H151" t="s">
        <v>16</v>
      </c>
      <c r="I151" t="s">
        <v>697</v>
      </c>
      <c r="J151" t="s">
        <v>17</v>
      </c>
      <c r="K151" t="s">
        <v>28</v>
      </c>
      <c r="L151" t="s">
        <v>19</v>
      </c>
      <c r="M151">
        <v>8.16</v>
      </c>
      <c r="N151">
        <v>5</v>
      </c>
      <c r="O151">
        <v>0.7</v>
      </c>
      <c r="P151">
        <v>-5.7119999999999997</v>
      </c>
      <c r="Q151" s="1">
        <v>-0.7</v>
      </c>
      <c r="R151" t="s">
        <v>401</v>
      </c>
      <c r="S151" t="s">
        <v>402</v>
      </c>
    </row>
    <row r="152" spans="1:19" x14ac:dyDescent="0.3">
      <c r="A152">
        <v>377</v>
      </c>
      <c r="B152" t="s">
        <v>698</v>
      </c>
      <c r="C152">
        <v>2016</v>
      </c>
      <c r="D152" t="s">
        <v>428</v>
      </c>
      <c r="E152" t="s">
        <v>13</v>
      </c>
      <c r="F152" t="s">
        <v>162</v>
      </c>
      <c r="G152" t="s">
        <v>56</v>
      </c>
      <c r="H152" t="s">
        <v>38</v>
      </c>
      <c r="I152" t="s">
        <v>699</v>
      </c>
      <c r="J152" t="s">
        <v>17</v>
      </c>
      <c r="K152" t="s">
        <v>32</v>
      </c>
      <c r="L152" t="s">
        <v>53</v>
      </c>
      <c r="M152">
        <v>99.135999999999996</v>
      </c>
      <c r="N152">
        <v>4</v>
      </c>
      <c r="O152">
        <v>0.2</v>
      </c>
      <c r="P152">
        <v>30.98</v>
      </c>
      <c r="Q152" s="1">
        <v>0.3125</v>
      </c>
      <c r="R152" t="s">
        <v>4</v>
      </c>
      <c r="S152" t="s">
        <v>408</v>
      </c>
    </row>
    <row r="153" spans="1:19" x14ac:dyDescent="0.3">
      <c r="A153">
        <v>378</v>
      </c>
      <c r="B153" t="s">
        <v>700</v>
      </c>
      <c r="C153">
        <v>2017</v>
      </c>
      <c r="D153" t="s">
        <v>420</v>
      </c>
      <c r="E153" t="s">
        <v>13</v>
      </c>
      <c r="F153" t="s">
        <v>106</v>
      </c>
      <c r="G153" t="s">
        <v>156</v>
      </c>
      <c r="H153" t="s">
        <v>48</v>
      </c>
      <c r="I153" t="s">
        <v>701</v>
      </c>
      <c r="J153" t="s">
        <v>10</v>
      </c>
      <c r="K153" t="s">
        <v>22</v>
      </c>
      <c r="L153" t="s">
        <v>19</v>
      </c>
      <c r="M153">
        <v>1488.424</v>
      </c>
      <c r="N153">
        <v>7</v>
      </c>
      <c r="O153">
        <v>0.3</v>
      </c>
      <c r="P153">
        <v>-297.6848</v>
      </c>
      <c r="Q153" s="1">
        <v>-0.2</v>
      </c>
      <c r="R153" t="s">
        <v>401</v>
      </c>
      <c r="S153" t="s">
        <v>402</v>
      </c>
    </row>
    <row r="154" spans="1:19" x14ac:dyDescent="0.3">
      <c r="A154">
        <v>379</v>
      </c>
      <c r="B154" t="s">
        <v>702</v>
      </c>
      <c r="C154">
        <v>2015</v>
      </c>
      <c r="D154" t="s">
        <v>406</v>
      </c>
      <c r="E154" t="s">
        <v>6</v>
      </c>
      <c r="F154" t="s">
        <v>52</v>
      </c>
      <c r="G154" t="s">
        <v>37</v>
      </c>
      <c r="H154" t="s">
        <v>38</v>
      </c>
      <c r="I154" t="s">
        <v>703</v>
      </c>
      <c r="J154" t="s">
        <v>17</v>
      </c>
      <c r="K154" t="s">
        <v>29</v>
      </c>
      <c r="L154" t="s">
        <v>19</v>
      </c>
      <c r="M154">
        <v>8.6519999999999992</v>
      </c>
      <c r="N154">
        <v>3</v>
      </c>
      <c r="O154">
        <v>0.8</v>
      </c>
      <c r="P154">
        <v>-20.3322</v>
      </c>
      <c r="Q154" s="1">
        <v>-2.35</v>
      </c>
      <c r="R154" t="s">
        <v>401</v>
      </c>
      <c r="S154" t="s">
        <v>402</v>
      </c>
    </row>
    <row r="155" spans="1:19" x14ac:dyDescent="0.3">
      <c r="A155">
        <v>384</v>
      </c>
      <c r="B155" t="s">
        <v>704</v>
      </c>
      <c r="C155">
        <v>2015</v>
      </c>
      <c r="D155" t="s">
        <v>396</v>
      </c>
      <c r="E155" t="s">
        <v>13</v>
      </c>
      <c r="F155" t="s">
        <v>143</v>
      </c>
      <c r="G155" t="s">
        <v>61</v>
      </c>
      <c r="H155" t="s">
        <v>38</v>
      </c>
      <c r="I155" t="s">
        <v>705</v>
      </c>
      <c r="J155" t="s">
        <v>26</v>
      </c>
      <c r="K155" t="s">
        <v>50</v>
      </c>
      <c r="L155" t="s">
        <v>5</v>
      </c>
      <c r="M155">
        <v>41.9</v>
      </c>
      <c r="N155">
        <v>2</v>
      </c>
      <c r="O155">
        <v>0</v>
      </c>
      <c r="P155">
        <v>8.7989999999999995</v>
      </c>
      <c r="Q155" s="1">
        <v>0.21</v>
      </c>
      <c r="R155" t="s">
        <v>4</v>
      </c>
      <c r="S155" t="s">
        <v>394</v>
      </c>
    </row>
    <row r="156" spans="1:19" x14ac:dyDescent="0.3">
      <c r="A156">
        <v>385</v>
      </c>
      <c r="B156" t="s">
        <v>706</v>
      </c>
      <c r="C156">
        <v>2015</v>
      </c>
      <c r="D156" t="s">
        <v>392</v>
      </c>
      <c r="E156" t="s">
        <v>6</v>
      </c>
      <c r="F156" t="s">
        <v>163</v>
      </c>
      <c r="G156" t="s">
        <v>21</v>
      </c>
      <c r="H156" t="s">
        <v>9</v>
      </c>
      <c r="I156" t="s">
        <v>707</v>
      </c>
      <c r="J156" t="s">
        <v>10</v>
      </c>
      <c r="K156" t="s">
        <v>22</v>
      </c>
      <c r="L156" t="s">
        <v>19</v>
      </c>
      <c r="M156">
        <v>375.45749999999998</v>
      </c>
      <c r="N156">
        <v>3</v>
      </c>
      <c r="O156">
        <v>0.45</v>
      </c>
      <c r="P156">
        <v>-157.0095</v>
      </c>
      <c r="Q156" s="1">
        <v>-0.41818181818181799</v>
      </c>
      <c r="R156" t="s">
        <v>401</v>
      </c>
      <c r="S156" t="s">
        <v>402</v>
      </c>
    </row>
    <row r="157" spans="1:19" x14ac:dyDescent="0.3">
      <c r="A157">
        <v>387</v>
      </c>
      <c r="B157" t="s">
        <v>708</v>
      </c>
      <c r="C157">
        <v>2015</v>
      </c>
      <c r="D157" t="s">
        <v>410</v>
      </c>
      <c r="E157" t="s">
        <v>13</v>
      </c>
      <c r="F157" t="s">
        <v>46</v>
      </c>
      <c r="G157" t="s">
        <v>47</v>
      </c>
      <c r="H157" t="s">
        <v>48</v>
      </c>
      <c r="I157" t="s">
        <v>709</v>
      </c>
      <c r="J157" t="s">
        <v>26</v>
      </c>
      <c r="K157" t="s">
        <v>114</v>
      </c>
      <c r="L157" t="s">
        <v>19</v>
      </c>
      <c r="M157">
        <v>482.34</v>
      </c>
      <c r="N157">
        <v>4</v>
      </c>
      <c r="O157">
        <v>0.7</v>
      </c>
      <c r="P157">
        <v>-337.63799999999998</v>
      </c>
      <c r="Q157" s="1">
        <v>-0.7</v>
      </c>
      <c r="R157" t="s">
        <v>401</v>
      </c>
      <c r="S157" t="s">
        <v>402</v>
      </c>
    </row>
    <row r="158" spans="1:19" x14ac:dyDescent="0.3">
      <c r="A158">
        <v>389</v>
      </c>
      <c r="B158" t="s">
        <v>710</v>
      </c>
      <c r="C158">
        <v>2014</v>
      </c>
      <c r="D158" t="s">
        <v>392</v>
      </c>
      <c r="E158" t="s">
        <v>6</v>
      </c>
      <c r="F158" t="s">
        <v>138</v>
      </c>
      <c r="G158" t="s">
        <v>95</v>
      </c>
      <c r="H158" t="s">
        <v>48</v>
      </c>
      <c r="I158" t="s">
        <v>711</v>
      </c>
      <c r="J158" t="s">
        <v>17</v>
      </c>
      <c r="K158" t="s">
        <v>25</v>
      </c>
      <c r="L158" t="s">
        <v>53</v>
      </c>
      <c r="M158">
        <v>2.6240000000000001</v>
      </c>
      <c r="N158">
        <v>1</v>
      </c>
      <c r="O158">
        <v>0.2</v>
      </c>
      <c r="P158">
        <v>0.4264</v>
      </c>
      <c r="Q158" s="1">
        <v>0.16250000000000001</v>
      </c>
      <c r="R158" t="s">
        <v>4</v>
      </c>
      <c r="S158" t="s">
        <v>408</v>
      </c>
    </row>
    <row r="159" spans="1:19" x14ac:dyDescent="0.3">
      <c r="A159">
        <v>390</v>
      </c>
      <c r="B159" t="s">
        <v>712</v>
      </c>
      <c r="C159">
        <v>2017</v>
      </c>
      <c r="D159" t="s">
        <v>410</v>
      </c>
      <c r="E159" t="s">
        <v>6</v>
      </c>
      <c r="F159" t="s">
        <v>66</v>
      </c>
      <c r="G159" t="s">
        <v>67</v>
      </c>
      <c r="H159" t="s">
        <v>48</v>
      </c>
      <c r="I159" t="s">
        <v>713</v>
      </c>
      <c r="J159" t="s">
        <v>17</v>
      </c>
      <c r="K159" t="s">
        <v>28</v>
      </c>
      <c r="L159" t="s">
        <v>19</v>
      </c>
      <c r="M159">
        <v>23.36</v>
      </c>
      <c r="N159">
        <v>4</v>
      </c>
      <c r="O159">
        <v>0.2</v>
      </c>
      <c r="P159">
        <v>7.8840000000000003</v>
      </c>
      <c r="Q159" s="1">
        <v>0.33750000000000002</v>
      </c>
      <c r="R159" t="s">
        <v>4</v>
      </c>
      <c r="S159" t="s">
        <v>408</v>
      </c>
    </row>
    <row r="160" spans="1:19" x14ac:dyDescent="0.3">
      <c r="A160">
        <v>392</v>
      </c>
      <c r="B160" t="s">
        <v>714</v>
      </c>
      <c r="C160">
        <v>2014</v>
      </c>
      <c r="D160" t="s">
        <v>428</v>
      </c>
      <c r="E160" t="s">
        <v>6</v>
      </c>
      <c r="F160" t="s">
        <v>164</v>
      </c>
      <c r="G160" t="s">
        <v>34</v>
      </c>
      <c r="H160" t="s">
        <v>16</v>
      </c>
      <c r="I160" t="s">
        <v>715</v>
      </c>
      <c r="J160" t="s">
        <v>26</v>
      </c>
      <c r="K160" t="s">
        <v>27</v>
      </c>
      <c r="L160" t="s">
        <v>5</v>
      </c>
      <c r="M160">
        <v>246.38399999999999</v>
      </c>
      <c r="N160">
        <v>2</v>
      </c>
      <c r="O160">
        <v>0.2</v>
      </c>
      <c r="P160">
        <v>27.7182</v>
      </c>
      <c r="Q160" s="1">
        <v>0.1125</v>
      </c>
      <c r="R160" t="s">
        <v>4</v>
      </c>
      <c r="S160" t="s">
        <v>408</v>
      </c>
    </row>
    <row r="161" spans="1:19" x14ac:dyDescent="0.3">
      <c r="A161">
        <v>394</v>
      </c>
      <c r="B161" t="s">
        <v>716</v>
      </c>
      <c r="C161">
        <v>2014</v>
      </c>
      <c r="D161" t="s">
        <v>396</v>
      </c>
      <c r="E161" t="s">
        <v>13</v>
      </c>
      <c r="F161" t="s">
        <v>165</v>
      </c>
      <c r="G161" t="s">
        <v>56</v>
      </c>
      <c r="H161" t="s">
        <v>38</v>
      </c>
      <c r="I161" t="s">
        <v>717</v>
      </c>
      <c r="J161" t="s">
        <v>17</v>
      </c>
      <c r="K161" t="s">
        <v>28</v>
      </c>
      <c r="L161" t="s">
        <v>5</v>
      </c>
      <c r="M161">
        <v>12.462</v>
      </c>
      <c r="N161">
        <v>3</v>
      </c>
      <c r="O161">
        <v>0.8</v>
      </c>
      <c r="P161">
        <v>-20.5623</v>
      </c>
      <c r="Q161" s="1">
        <v>-1.65</v>
      </c>
      <c r="R161" t="s">
        <v>401</v>
      </c>
      <c r="S161" t="s">
        <v>402</v>
      </c>
    </row>
    <row r="162" spans="1:19" x14ac:dyDescent="0.3">
      <c r="A162">
        <v>395</v>
      </c>
      <c r="B162" t="s">
        <v>718</v>
      </c>
      <c r="C162">
        <v>2017</v>
      </c>
      <c r="D162" t="s">
        <v>396</v>
      </c>
      <c r="E162" t="s">
        <v>35</v>
      </c>
      <c r="F162" t="s">
        <v>166</v>
      </c>
      <c r="G162" t="s">
        <v>167</v>
      </c>
      <c r="H162" t="s">
        <v>16</v>
      </c>
      <c r="I162" t="s">
        <v>719</v>
      </c>
      <c r="J162" t="s">
        <v>17</v>
      </c>
      <c r="K162" t="s">
        <v>28</v>
      </c>
      <c r="L162" t="s">
        <v>19</v>
      </c>
      <c r="M162">
        <v>75.792000000000002</v>
      </c>
      <c r="N162">
        <v>3</v>
      </c>
      <c r="O162">
        <v>0.2</v>
      </c>
      <c r="P162">
        <v>25.579799999999999</v>
      </c>
      <c r="Q162" s="1">
        <v>0.33750000000000002</v>
      </c>
      <c r="R162" t="s">
        <v>4</v>
      </c>
      <c r="S162" t="s">
        <v>408</v>
      </c>
    </row>
    <row r="163" spans="1:19" x14ac:dyDescent="0.3">
      <c r="A163">
        <v>396</v>
      </c>
      <c r="B163" t="s">
        <v>720</v>
      </c>
      <c r="C163">
        <v>2017</v>
      </c>
      <c r="D163" t="s">
        <v>399</v>
      </c>
      <c r="E163" t="s">
        <v>13</v>
      </c>
      <c r="F163" t="s">
        <v>168</v>
      </c>
      <c r="G163" t="s">
        <v>169</v>
      </c>
      <c r="H163" t="s">
        <v>48</v>
      </c>
      <c r="I163" t="s">
        <v>721</v>
      </c>
      <c r="J163" t="s">
        <v>17</v>
      </c>
      <c r="K163" t="s">
        <v>23</v>
      </c>
      <c r="L163" t="s">
        <v>5</v>
      </c>
      <c r="M163">
        <v>49.96</v>
      </c>
      <c r="N163">
        <v>2</v>
      </c>
      <c r="O163">
        <v>0</v>
      </c>
      <c r="P163">
        <v>9.4923999999999999</v>
      </c>
      <c r="Q163" s="1">
        <v>0.19</v>
      </c>
      <c r="R163" t="s">
        <v>4</v>
      </c>
      <c r="S163" t="s">
        <v>394</v>
      </c>
    </row>
    <row r="164" spans="1:19" x14ac:dyDescent="0.3">
      <c r="A164">
        <v>399</v>
      </c>
      <c r="B164" t="s">
        <v>722</v>
      </c>
      <c r="C164">
        <v>2016</v>
      </c>
      <c r="D164" t="s">
        <v>428</v>
      </c>
      <c r="E164" t="s">
        <v>6</v>
      </c>
      <c r="F164" t="s">
        <v>52</v>
      </c>
      <c r="G164" t="s">
        <v>37</v>
      </c>
      <c r="H164" t="s">
        <v>38</v>
      </c>
      <c r="I164" t="s">
        <v>723</v>
      </c>
      <c r="J164" t="s">
        <v>17</v>
      </c>
      <c r="K164" t="s">
        <v>23</v>
      </c>
      <c r="L164" t="s">
        <v>5</v>
      </c>
      <c r="M164">
        <v>35.951999999999998</v>
      </c>
      <c r="N164">
        <v>3</v>
      </c>
      <c r="O164">
        <v>0.2</v>
      </c>
      <c r="P164">
        <v>3.5952000000000002</v>
      </c>
      <c r="Q164" s="1">
        <v>0.1</v>
      </c>
      <c r="R164" t="s">
        <v>4</v>
      </c>
      <c r="S164" t="s">
        <v>408</v>
      </c>
    </row>
    <row r="165" spans="1:19" x14ac:dyDescent="0.3">
      <c r="A165">
        <v>403</v>
      </c>
      <c r="B165" t="s">
        <v>724</v>
      </c>
      <c r="C165">
        <v>2014</v>
      </c>
      <c r="D165" t="s">
        <v>410</v>
      </c>
      <c r="E165" t="s">
        <v>6</v>
      </c>
      <c r="F165" t="s">
        <v>170</v>
      </c>
      <c r="G165" t="s">
        <v>21</v>
      </c>
      <c r="H165" t="s">
        <v>9</v>
      </c>
      <c r="I165" t="s">
        <v>725</v>
      </c>
      <c r="J165" t="s">
        <v>17</v>
      </c>
      <c r="K165" t="s">
        <v>32</v>
      </c>
      <c r="L165" t="s">
        <v>53</v>
      </c>
      <c r="M165">
        <v>9.5679999999999996</v>
      </c>
      <c r="N165">
        <v>2</v>
      </c>
      <c r="O165">
        <v>0.2</v>
      </c>
      <c r="P165">
        <v>3.4683999999999999</v>
      </c>
      <c r="Q165" s="1">
        <v>0.36249999999999999</v>
      </c>
      <c r="R165" t="s">
        <v>4</v>
      </c>
      <c r="S165" t="s">
        <v>408</v>
      </c>
    </row>
    <row r="166" spans="1:19" x14ac:dyDescent="0.3">
      <c r="A166">
        <v>404</v>
      </c>
      <c r="B166" t="s">
        <v>726</v>
      </c>
      <c r="C166">
        <v>2014</v>
      </c>
      <c r="D166" t="s">
        <v>406</v>
      </c>
      <c r="E166" t="s">
        <v>13</v>
      </c>
      <c r="F166" t="s">
        <v>97</v>
      </c>
      <c r="G166" t="s">
        <v>31</v>
      </c>
      <c r="H166" t="s">
        <v>9</v>
      </c>
      <c r="I166" t="s">
        <v>727</v>
      </c>
      <c r="J166" t="s">
        <v>17</v>
      </c>
      <c r="K166" t="s">
        <v>25</v>
      </c>
      <c r="L166" t="s">
        <v>19</v>
      </c>
      <c r="M166">
        <v>39.072000000000003</v>
      </c>
      <c r="N166">
        <v>6</v>
      </c>
      <c r="O166">
        <v>0.2</v>
      </c>
      <c r="P166">
        <v>9.7680000000000007</v>
      </c>
      <c r="Q166" s="1">
        <v>0.25</v>
      </c>
      <c r="R166" t="s">
        <v>4</v>
      </c>
      <c r="S166" t="s">
        <v>408</v>
      </c>
    </row>
    <row r="167" spans="1:19" x14ac:dyDescent="0.3">
      <c r="A167">
        <v>405</v>
      </c>
      <c r="B167" t="s">
        <v>728</v>
      </c>
      <c r="C167">
        <v>2017</v>
      </c>
      <c r="D167" t="s">
        <v>410</v>
      </c>
      <c r="E167" t="s">
        <v>6</v>
      </c>
      <c r="F167" t="s">
        <v>66</v>
      </c>
      <c r="G167" t="s">
        <v>67</v>
      </c>
      <c r="H167" t="s">
        <v>48</v>
      </c>
      <c r="I167" t="s">
        <v>729</v>
      </c>
      <c r="J167" t="s">
        <v>17</v>
      </c>
      <c r="K167" t="s">
        <v>29</v>
      </c>
      <c r="L167" t="s">
        <v>19</v>
      </c>
      <c r="M167">
        <v>35.909999999999997</v>
      </c>
      <c r="N167">
        <v>3</v>
      </c>
      <c r="O167">
        <v>0</v>
      </c>
      <c r="P167">
        <v>9.6957000000000004</v>
      </c>
      <c r="Q167" s="1">
        <v>0.27</v>
      </c>
      <c r="R167" t="s">
        <v>4</v>
      </c>
      <c r="S167" t="s">
        <v>394</v>
      </c>
    </row>
    <row r="168" spans="1:19" x14ac:dyDescent="0.3">
      <c r="A168">
        <v>406</v>
      </c>
      <c r="B168" t="s">
        <v>730</v>
      </c>
      <c r="C168">
        <v>2017</v>
      </c>
      <c r="D168" t="s">
        <v>410</v>
      </c>
      <c r="E168" t="s">
        <v>6</v>
      </c>
      <c r="F168" t="s">
        <v>43</v>
      </c>
      <c r="G168" t="s">
        <v>15</v>
      </c>
      <c r="H168" t="s">
        <v>16</v>
      </c>
      <c r="I168" t="s">
        <v>731</v>
      </c>
      <c r="J168" t="s">
        <v>26</v>
      </c>
      <c r="K168" t="s">
        <v>50</v>
      </c>
      <c r="L168" t="s">
        <v>19</v>
      </c>
      <c r="M168">
        <v>179.95</v>
      </c>
      <c r="N168">
        <v>5</v>
      </c>
      <c r="O168">
        <v>0</v>
      </c>
      <c r="P168">
        <v>37.789499999999997</v>
      </c>
      <c r="Q168" s="1">
        <v>0.21</v>
      </c>
      <c r="R168" t="s">
        <v>4</v>
      </c>
      <c r="S168" t="s">
        <v>394</v>
      </c>
    </row>
    <row r="169" spans="1:19" x14ac:dyDescent="0.3">
      <c r="A169">
        <v>418</v>
      </c>
      <c r="B169" t="s">
        <v>732</v>
      </c>
      <c r="C169">
        <v>2016</v>
      </c>
      <c r="D169" t="s">
        <v>406</v>
      </c>
      <c r="E169" t="s">
        <v>6</v>
      </c>
      <c r="F169" t="s">
        <v>14</v>
      </c>
      <c r="G169" t="s">
        <v>15</v>
      </c>
      <c r="H169" t="s">
        <v>16</v>
      </c>
      <c r="I169" t="s">
        <v>733</v>
      </c>
      <c r="J169" t="s">
        <v>10</v>
      </c>
      <c r="K169" t="s">
        <v>12</v>
      </c>
      <c r="L169" t="s">
        <v>19</v>
      </c>
      <c r="M169">
        <v>383.8</v>
      </c>
      <c r="N169">
        <v>5</v>
      </c>
      <c r="O169">
        <v>0.2</v>
      </c>
      <c r="P169">
        <v>38.380000000000003</v>
      </c>
      <c r="Q169" s="1">
        <v>0.1</v>
      </c>
      <c r="R169" t="s">
        <v>4</v>
      </c>
      <c r="S169" t="s">
        <v>408</v>
      </c>
    </row>
    <row r="170" spans="1:19" x14ac:dyDescent="0.3">
      <c r="A170">
        <v>420</v>
      </c>
      <c r="B170" t="s">
        <v>734</v>
      </c>
      <c r="C170">
        <v>2017</v>
      </c>
      <c r="D170" t="s">
        <v>447</v>
      </c>
      <c r="E170" t="s">
        <v>13</v>
      </c>
      <c r="F170" t="s">
        <v>14</v>
      </c>
      <c r="G170" t="s">
        <v>15</v>
      </c>
      <c r="H170" t="s">
        <v>16</v>
      </c>
      <c r="I170" t="s">
        <v>735</v>
      </c>
      <c r="J170" t="s">
        <v>17</v>
      </c>
      <c r="K170" t="s">
        <v>25</v>
      </c>
      <c r="L170" t="s">
        <v>19</v>
      </c>
      <c r="M170">
        <v>9.32</v>
      </c>
      <c r="N170">
        <v>4</v>
      </c>
      <c r="O170">
        <v>0</v>
      </c>
      <c r="P170">
        <v>2.7027999999999999</v>
      </c>
      <c r="Q170" s="1">
        <v>0.28999999999999998</v>
      </c>
      <c r="R170" t="s">
        <v>4</v>
      </c>
      <c r="S170" t="s">
        <v>394</v>
      </c>
    </row>
    <row r="171" spans="1:19" x14ac:dyDescent="0.3">
      <c r="A171">
        <v>422</v>
      </c>
      <c r="B171" t="s">
        <v>736</v>
      </c>
      <c r="C171">
        <v>2014</v>
      </c>
      <c r="D171" t="s">
        <v>396</v>
      </c>
      <c r="E171" t="s">
        <v>6</v>
      </c>
      <c r="F171" t="s">
        <v>173</v>
      </c>
      <c r="G171" t="s">
        <v>89</v>
      </c>
      <c r="H171" t="s">
        <v>16</v>
      </c>
      <c r="I171" t="s">
        <v>737</v>
      </c>
      <c r="J171" t="s">
        <v>26</v>
      </c>
      <c r="K171" t="s">
        <v>50</v>
      </c>
      <c r="L171" t="s">
        <v>53</v>
      </c>
      <c r="M171">
        <v>196.75200000000001</v>
      </c>
      <c r="N171">
        <v>6</v>
      </c>
      <c r="O171">
        <v>0.2</v>
      </c>
      <c r="P171">
        <v>56.566200000000002</v>
      </c>
      <c r="Q171" s="1">
        <v>0.28749999999999998</v>
      </c>
      <c r="R171" t="s">
        <v>4</v>
      </c>
      <c r="S171" t="s">
        <v>408</v>
      </c>
    </row>
    <row r="172" spans="1:19" x14ac:dyDescent="0.3">
      <c r="A172">
        <v>425</v>
      </c>
      <c r="B172" t="s">
        <v>738</v>
      </c>
      <c r="C172">
        <v>2017</v>
      </c>
      <c r="D172" t="s">
        <v>420</v>
      </c>
      <c r="E172" t="s">
        <v>6</v>
      </c>
      <c r="F172" t="s">
        <v>75</v>
      </c>
      <c r="G172" t="s">
        <v>175</v>
      </c>
      <c r="H172" t="s">
        <v>9</v>
      </c>
      <c r="I172" t="s">
        <v>739</v>
      </c>
      <c r="J172" t="s">
        <v>10</v>
      </c>
      <c r="K172" t="s">
        <v>12</v>
      </c>
      <c r="L172" t="s">
        <v>5</v>
      </c>
      <c r="M172">
        <v>866.4</v>
      </c>
      <c r="N172">
        <v>4</v>
      </c>
      <c r="O172">
        <v>0</v>
      </c>
      <c r="P172">
        <v>225.26400000000001</v>
      </c>
      <c r="Q172" s="1">
        <v>0.26</v>
      </c>
      <c r="R172" t="s">
        <v>4</v>
      </c>
      <c r="S172" t="s">
        <v>394</v>
      </c>
    </row>
    <row r="173" spans="1:19" x14ac:dyDescent="0.3">
      <c r="A173">
        <v>428</v>
      </c>
      <c r="B173" t="s">
        <v>740</v>
      </c>
      <c r="C173">
        <v>2014</v>
      </c>
      <c r="D173" t="s">
        <v>428</v>
      </c>
      <c r="E173" t="s">
        <v>35</v>
      </c>
      <c r="F173" t="s">
        <v>177</v>
      </c>
      <c r="G173" t="s">
        <v>67</v>
      </c>
      <c r="H173" t="s">
        <v>48</v>
      </c>
      <c r="I173" t="s">
        <v>741</v>
      </c>
      <c r="J173" t="s">
        <v>26</v>
      </c>
      <c r="K173" t="s">
        <v>114</v>
      </c>
      <c r="L173" t="s">
        <v>53</v>
      </c>
      <c r="M173">
        <v>69.989999999999995</v>
      </c>
      <c r="N173">
        <v>1</v>
      </c>
      <c r="O173">
        <v>0</v>
      </c>
      <c r="P173">
        <v>30.095700000000001</v>
      </c>
      <c r="Q173" s="1">
        <v>0.43</v>
      </c>
      <c r="R173" t="s">
        <v>4</v>
      </c>
      <c r="S173" t="s">
        <v>394</v>
      </c>
    </row>
    <row r="174" spans="1:19" x14ac:dyDescent="0.3">
      <c r="A174">
        <v>429</v>
      </c>
      <c r="B174" t="s">
        <v>742</v>
      </c>
      <c r="C174">
        <v>2017</v>
      </c>
      <c r="D174" t="s">
        <v>399</v>
      </c>
      <c r="E174" t="s">
        <v>13</v>
      </c>
      <c r="F174" t="s">
        <v>113</v>
      </c>
      <c r="G174" t="s">
        <v>37</v>
      </c>
      <c r="H174" t="s">
        <v>38</v>
      </c>
      <c r="I174" t="s">
        <v>743</v>
      </c>
      <c r="J174" t="s">
        <v>17</v>
      </c>
      <c r="K174" t="s">
        <v>25</v>
      </c>
      <c r="L174" t="s">
        <v>19</v>
      </c>
      <c r="M174">
        <v>6.6719999999999997</v>
      </c>
      <c r="N174">
        <v>6</v>
      </c>
      <c r="O174">
        <v>0.2</v>
      </c>
      <c r="P174">
        <v>0.50039999999999996</v>
      </c>
      <c r="Q174" s="1">
        <v>7.4999999999999997E-2</v>
      </c>
      <c r="R174" t="s">
        <v>4</v>
      </c>
      <c r="S174" t="s">
        <v>408</v>
      </c>
    </row>
    <row r="175" spans="1:19" x14ac:dyDescent="0.3">
      <c r="A175">
        <v>430</v>
      </c>
      <c r="B175" t="s">
        <v>744</v>
      </c>
      <c r="C175">
        <v>2016</v>
      </c>
      <c r="D175" t="s">
        <v>406</v>
      </c>
      <c r="E175" t="s">
        <v>35</v>
      </c>
      <c r="F175" t="s">
        <v>178</v>
      </c>
      <c r="G175" t="s">
        <v>31</v>
      </c>
      <c r="H175" t="s">
        <v>9</v>
      </c>
      <c r="I175" t="s">
        <v>745</v>
      </c>
      <c r="J175" t="s">
        <v>17</v>
      </c>
      <c r="K175" t="s">
        <v>28</v>
      </c>
      <c r="L175" t="s">
        <v>19</v>
      </c>
      <c r="M175">
        <v>189.58799999999999</v>
      </c>
      <c r="N175">
        <v>2</v>
      </c>
      <c r="O175">
        <v>0.7</v>
      </c>
      <c r="P175">
        <v>-145.35079999999999</v>
      </c>
      <c r="Q175" s="1">
        <v>-0.76666666666666605</v>
      </c>
      <c r="R175" t="s">
        <v>401</v>
      </c>
      <c r="S175" t="s">
        <v>402</v>
      </c>
    </row>
    <row r="176" spans="1:19" x14ac:dyDescent="0.3">
      <c r="A176">
        <v>435</v>
      </c>
      <c r="B176" t="s">
        <v>746</v>
      </c>
      <c r="C176">
        <v>2014</v>
      </c>
      <c r="D176" t="s">
        <v>410</v>
      </c>
      <c r="E176" t="s">
        <v>6</v>
      </c>
      <c r="F176" t="s">
        <v>179</v>
      </c>
      <c r="G176" t="s">
        <v>21</v>
      </c>
      <c r="H176" t="s">
        <v>9</v>
      </c>
      <c r="I176" t="s">
        <v>747</v>
      </c>
      <c r="J176" t="s">
        <v>17</v>
      </c>
      <c r="K176" t="s">
        <v>28</v>
      </c>
      <c r="L176" t="s">
        <v>19</v>
      </c>
      <c r="M176">
        <v>4.8120000000000003</v>
      </c>
      <c r="N176">
        <v>2</v>
      </c>
      <c r="O176">
        <v>0.7</v>
      </c>
      <c r="P176">
        <v>-3.6892</v>
      </c>
      <c r="Q176" s="1">
        <v>-0.76666666666666605</v>
      </c>
      <c r="R176" t="s">
        <v>401</v>
      </c>
      <c r="S176" t="s">
        <v>402</v>
      </c>
    </row>
    <row r="177" spans="1:19" x14ac:dyDescent="0.3">
      <c r="A177">
        <v>439</v>
      </c>
      <c r="B177" t="s">
        <v>748</v>
      </c>
      <c r="C177">
        <v>2017</v>
      </c>
      <c r="D177" t="s">
        <v>428</v>
      </c>
      <c r="E177" t="s">
        <v>13</v>
      </c>
      <c r="F177" t="s">
        <v>52</v>
      </c>
      <c r="G177" t="s">
        <v>37</v>
      </c>
      <c r="H177" t="s">
        <v>38</v>
      </c>
      <c r="I177" t="s">
        <v>749</v>
      </c>
      <c r="J177" t="s">
        <v>17</v>
      </c>
      <c r="K177" t="s">
        <v>32</v>
      </c>
      <c r="L177" t="s">
        <v>19</v>
      </c>
      <c r="M177">
        <v>31.872</v>
      </c>
      <c r="N177">
        <v>8</v>
      </c>
      <c r="O177">
        <v>0.2</v>
      </c>
      <c r="P177">
        <v>11.553599999999999</v>
      </c>
      <c r="Q177" s="1">
        <v>0.36249999999999999</v>
      </c>
      <c r="R177" t="s">
        <v>4</v>
      </c>
      <c r="S177" t="s">
        <v>408</v>
      </c>
    </row>
    <row r="178" spans="1:19" x14ac:dyDescent="0.3">
      <c r="A178">
        <v>440</v>
      </c>
      <c r="B178" t="s">
        <v>750</v>
      </c>
      <c r="C178">
        <v>2017</v>
      </c>
      <c r="D178" t="s">
        <v>430</v>
      </c>
      <c r="E178" t="s">
        <v>13</v>
      </c>
      <c r="F178" t="s">
        <v>66</v>
      </c>
      <c r="G178" t="s">
        <v>67</v>
      </c>
      <c r="H178" t="s">
        <v>48</v>
      </c>
      <c r="I178" t="s">
        <v>751</v>
      </c>
      <c r="J178" t="s">
        <v>10</v>
      </c>
      <c r="K178" t="s">
        <v>12</v>
      </c>
      <c r="L178" t="s">
        <v>5</v>
      </c>
      <c r="M178">
        <v>207.846</v>
      </c>
      <c r="N178">
        <v>3</v>
      </c>
      <c r="O178">
        <v>0.1</v>
      </c>
      <c r="P178">
        <v>2.3094000000000001</v>
      </c>
      <c r="Q178" s="1">
        <v>1.1111111111111099E-2</v>
      </c>
      <c r="R178" t="s">
        <v>4</v>
      </c>
      <c r="S178" t="s">
        <v>394</v>
      </c>
    </row>
    <row r="179" spans="1:19" x14ac:dyDescent="0.3">
      <c r="A179">
        <v>447</v>
      </c>
      <c r="B179" t="s">
        <v>752</v>
      </c>
      <c r="C179">
        <v>2017</v>
      </c>
      <c r="D179" t="s">
        <v>447</v>
      </c>
      <c r="E179" t="s">
        <v>6</v>
      </c>
      <c r="F179" t="s">
        <v>94</v>
      </c>
      <c r="G179" t="s">
        <v>65</v>
      </c>
      <c r="H179" t="s">
        <v>38</v>
      </c>
      <c r="I179" t="s">
        <v>753</v>
      </c>
      <c r="J179" t="s">
        <v>10</v>
      </c>
      <c r="K179" t="s">
        <v>24</v>
      </c>
      <c r="L179" t="s">
        <v>5</v>
      </c>
      <c r="M179">
        <v>2.91</v>
      </c>
      <c r="N179">
        <v>1</v>
      </c>
      <c r="O179">
        <v>0</v>
      </c>
      <c r="P179">
        <v>1.3676999999999999</v>
      </c>
      <c r="Q179" s="1">
        <v>0.47</v>
      </c>
      <c r="R179" t="s">
        <v>4</v>
      </c>
      <c r="S179" t="s">
        <v>394</v>
      </c>
    </row>
    <row r="180" spans="1:19" x14ac:dyDescent="0.3">
      <c r="A180">
        <v>448</v>
      </c>
      <c r="B180" t="s">
        <v>754</v>
      </c>
      <c r="C180">
        <v>2016</v>
      </c>
      <c r="D180" t="s">
        <v>406</v>
      </c>
      <c r="E180" t="s">
        <v>6</v>
      </c>
      <c r="F180" t="s">
        <v>180</v>
      </c>
      <c r="G180" t="s">
        <v>67</v>
      </c>
      <c r="H180" t="s">
        <v>48</v>
      </c>
      <c r="I180" t="s">
        <v>755</v>
      </c>
      <c r="J180" t="s">
        <v>17</v>
      </c>
      <c r="K180" t="s">
        <v>25</v>
      </c>
      <c r="L180" t="s">
        <v>5</v>
      </c>
      <c r="M180">
        <v>59.52</v>
      </c>
      <c r="N180">
        <v>3</v>
      </c>
      <c r="O180">
        <v>0</v>
      </c>
      <c r="P180">
        <v>15.475199999999999</v>
      </c>
      <c r="Q180" s="1">
        <v>0.26</v>
      </c>
      <c r="R180" t="s">
        <v>4</v>
      </c>
      <c r="S180" t="s">
        <v>394</v>
      </c>
    </row>
    <row r="181" spans="1:19" x14ac:dyDescent="0.3">
      <c r="A181">
        <v>454</v>
      </c>
      <c r="B181" t="s">
        <v>756</v>
      </c>
      <c r="C181">
        <v>2017</v>
      </c>
      <c r="D181" t="s">
        <v>399</v>
      </c>
      <c r="E181" t="s">
        <v>13</v>
      </c>
      <c r="F181" t="s">
        <v>124</v>
      </c>
      <c r="G181" t="s">
        <v>95</v>
      </c>
      <c r="H181" t="s">
        <v>48</v>
      </c>
      <c r="I181" t="s">
        <v>757</v>
      </c>
      <c r="J181" t="s">
        <v>10</v>
      </c>
      <c r="K181" t="s">
        <v>22</v>
      </c>
      <c r="L181" t="s">
        <v>19</v>
      </c>
      <c r="M181">
        <v>284.36399999999998</v>
      </c>
      <c r="N181">
        <v>2</v>
      </c>
      <c r="O181">
        <v>0.4</v>
      </c>
      <c r="P181">
        <v>-75.830399999999997</v>
      </c>
      <c r="Q181" s="1">
        <v>-0.266666666666667</v>
      </c>
      <c r="R181" t="s">
        <v>401</v>
      </c>
      <c r="S181" t="s">
        <v>402</v>
      </c>
    </row>
    <row r="182" spans="1:19" x14ac:dyDescent="0.3">
      <c r="A182">
        <v>456</v>
      </c>
      <c r="B182" t="s">
        <v>758</v>
      </c>
      <c r="C182">
        <v>2016</v>
      </c>
      <c r="D182" t="s">
        <v>410</v>
      </c>
      <c r="E182" t="s">
        <v>13</v>
      </c>
      <c r="F182" t="s">
        <v>181</v>
      </c>
      <c r="G182" t="s">
        <v>110</v>
      </c>
      <c r="H182" t="s">
        <v>38</v>
      </c>
      <c r="I182" t="s">
        <v>759</v>
      </c>
      <c r="J182" t="s">
        <v>26</v>
      </c>
      <c r="K182" t="s">
        <v>50</v>
      </c>
      <c r="L182" t="s">
        <v>19</v>
      </c>
      <c r="M182">
        <v>63.88</v>
      </c>
      <c r="N182">
        <v>4</v>
      </c>
      <c r="O182">
        <v>0</v>
      </c>
      <c r="P182">
        <v>24.9132</v>
      </c>
      <c r="Q182" s="1">
        <v>0.39</v>
      </c>
      <c r="R182" t="s">
        <v>4</v>
      </c>
      <c r="S182" t="s">
        <v>394</v>
      </c>
    </row>
    <row r="183" spans="1:19" x14ac:dyDescent="0.3">
      <c r="A183">
        <v>457</v>
      </c>
      <c r="B183" t="s">
        <v>760</v>
      </c>
      <c r="C183">
        <v>2014</v>
      </c>
      <c r="D183" t="s">
        <v>529</v>
      </c>
      <c r="E183" t="s">
        <v>6</v>
      </c>
      <c r="F183" t="s">
        <v>30</v>
      </c>
      <c r="G183" t="s">
        <v>15</v>
      </c>
      <c r="H183" t="s">
        <v>16</v>
      </c>
      <c r="I183" t="s">
        <v>761</v>
      </c>
      <c r="J183" t="s">
        <v>10</v>
      </c>
      <c r="K183" t="s">
        <v>12</v>
      </c>
      <c r="L183" t="s">
        <v>19</v>
      </c>
      <c r="M183">
        <v>129.56800000000001</v>
      </c>
      <c r="N183">
        <v>2</v>
      </c>
      <c r="O183">
        <v>0.2</v>
      </c>
      <c r="P183">
        <v>-24.294</v>
      </c>
      <c r="Q183" s="1">
        <v>-0.1875</v>
      </c>
      <c r="R183" t="s">
        <v>401</v>
      </c>
      <c r="S183" t="s">
        <v>408</v>
      </c>
    </row>
    <row r="184" spans="1:19" x14ac:dyDescent="0.3">
      <c r="A184">
        <v>458</v>
      </c>
      <c r="B184" t="s">
        <v>762</v>
      </c>
      <c r="C184">
        <v>2016</v>
      </c>
      <c r="D184" t="s">
        <v>428</v>
      </c>
      <c r="E184" t="s">
        <v>6</v>
      </c>
      <c r="F184" t="s">
        <v>78</v>
      </c>
      <c r="G184" t="s">
        <v>56</v>
      </c>
      <c r="H184" t="s">
        <v>38</v>
      </c>
      <c r="I184" t="s">
        <v>763</v>
      </c>
      <c r="J184" t="s">
        <v>10</v>
      </c>
      <c r="K184" t="s">
        <v>12</v>
      </c>
      <c r="L184" t="s">
        <v>19</v>
      </c>
      <c r="M184">
        <v>747.55799999999999</v>
      </c>
      <c r="N184">
        <v>3</v>
      </c>
      <c r="O184">
        <v>0.3</v>
      </c>
      <c r="P184">
        <v>-96.114599999999996</v>
      </c>
      <c r="Q184" s="1">
        <v>-0.128571428571429</v>
      </c>
      <c r="R184" t="s">
        <v>401</v>
      </c>
      <c r="S184" t="s">
        <v>402</v>
      </c>
    </row>
    <row r="185" spans="1:19" x14ac:dyDescent="0.3">
      <c r="A185">
        <v>463</v>
      </c>
      <c r="B185" t="s">
        <v>764</v>
      </c>
      <c r="C185">
        <v>2016</v>
      </c>
      <c r="D185" t="s">
        <v>406</v>
      </c>
      <c r="E185" t="s">
        <v>35</v>
      </c>
      <c r="F185" t="s">
        <v>99</v>
      </c>
      <c r="G185" t="s">
        <v>72</v>
      </c>
      <c r="H185" t="s">
        <v>16</v>
      </c>
      <c r="I185" t="s">
        <v>765</v>
      </c>
      <c r="J185" t="s">
        <v>10</v>
      </c>
      <c r="K185" t="s">
        <v>24</v>
      </c>
      <c r="L185" t="s">
        <v>19</v>
      </c>
      <c r="M185">
        <v>23.56</v>
      </c>
      <c r="N185">
        <v>5</v>
      </c>
      <c r="O185">
        <v>0.2</v>
      </c>
      <c r="P185">
        <v>7.0679999999999996</v>
      </c>
      <c r="Q185" s="1">
        <v>0.3</v>
      </c>
      <c r="R185" t="s">
        <v>4</v>
      </c>
      <c r="S185" t="s">
        <v>408</v>
      </c>
    </row>
    <row r="186" spans="1:19" x14ac:dyDescent="0.3">
      <c r="A186">
        <v>468</v>
      </c>
      <c r="B186" t="s">
        <v>766</v>
      </c>
      <c r="C186">
        <v>2015</v>
      </c>
      <c r="D186" t="s">
        <v>430</v>
      </c>
      <c r="E186" t="s">
        <v>35</v>
      </c>
      <c r="F186" t="s">
        <v>182</v>
      </c>
      <c r="G186" t="s">
        <v>56</v>
      </c>
      <c r="H186" t="s">
        <v>38</v>
      </c>
      <c r="I186" t="s">
        <v>767</v>
      </c>
      <c r="J186" t="s">
        <v>10</v>
      </c>
      <c r="K186" t="s">
        <v>24</v>
      </c>
      <c r="L186" t="s">
        <v>19</v>
      </c>
      <c r="M186">
        <v>254.744</v>
      </c>
      <c r="N186">
        <v>7</v>
      </c>
      <c r="O186">
        <v>0.6</v>
      </c>
      <c r="P186">
        <v>-312.06139999999999</v>
      </c>
      <c r="Q186" s="1">
        <v>-1.2250000000000001</v>
      </c>
      <c r="R186" t="s">
        <v>401</v>
      </c>
      <c r="S186" t="s">
        <v>402</v>
      </c>
    </row>
    <row r="187" spans="1:19" x14ac:dyDescent="0.3">
      <c r="A187">
        <v>469</v>
      </c>
      <c r="B187" t="s">
        <v>768</v>
      </c>
      <c r="C187">
        <v>2017</v>
      </c>
      <c r="D187" t="s">
        <v>447</v>
      </c>
      <c r="E187" t="s">
        <v>13</v>
      </c>
      <c r="F187" t="s">
        <v>183</v>
      </c>
      <c r="G187" t="s">
        <v>37</v>
      </c>
      <c r="H187" t="s">
        <v>38</v>
      </c>
      <c r="I187" t="s">
        <v>769</v>
      </c>
      <c r="J187" t="s">
        <v>10</v>
      </c>
      <c r="K187" t="s">
        <v>11</v>
      </c>
      <c r="L187" t="s">
        <v>19</v>
      </c>
      <c r="M187">
        <v>205.33279999999999</v>
      </c>
      <c r="N187">
        <v>2</v>
      </c>
      <c r="O187">
        <v>0.32</v>
      </c>
      <c r="P187">
        <v>-36.235199999999999</v>
      </c>
      <c r="Q187" s="1">
        <v>-0.17647058823529399</v>
      </c>
      <c r="R187" t="s">
        <v>401</v>
      </c>
      <c r="S187" t="s">
        <v>402</v>
      </c>
    </row>
    <row r="188" spans="1:19" x14ac:dyDescent="0.3">
      <c r="A188">
        <v>470</v>
      </c>
      <c r="B188" t="s">
        <v>770</v>
      </c>
      <c r="C188">
        <v>2016</v>
      </c>
      <c r="D188" t="s">
        <v>410</v>
      </c>
      <c r="E188" t="s">
        <v>6</v>
      </c>
      <c r="F188" t="s">
        <v>70</v>
      </c>
      <c r="G188" t="s">
        <v>56</v>
      </c>
      <c r="H188" t="s">
        <v>38</v>
      </c>
      <c r="I188" t="s">
        <v>771</v>
      </c>
      <c r="J188" t="s">
        <v>17</v>
      </c>
      <c r="K188" t="s">
        <v>28</v>
      </c>
      <c r="L188" t="s">
        <v>5</v>
      </c>
      <c r="M188">
        <v>4.7880000000000003</v>
      </c>
      <c r="N188">
        <v>3</v>
      </c>
      <c r="O188">
        <v>0.8</v>
      </c>
      <c r="P188">
        <v>-7.9001999999999999</v>
      </c>
      <c r="Q188" s="1">
        <v>-1.65</v>
      </c>
      <c r="R188" t="s">
        <v>401</v>
      </c>
      <c r="S188" t="s">
        <v>402</v>
      </c>
    </row>
    <row r="189" spans="1:19" x14ac:dyDescent="0.3">
      <c r="A189">
        <v>472</v>
      </c>
      <c r="B189" t="s">
        <v>772</v>
      </c>
      <c r="C189">
        <v>2014</v>
      </c>
      <c r="D189" t="s">
        <v>392</v>
      </c>
      <c r="E189" t="s">
        <v>6</v>
      </c>
      <c r="F189" t="s">
        <v>43</v>
      </c>
      <c r="G189" t="s">
        <v>15</v>
      </c>
      <c r="H189" t="s">
        <v>16</v>
      </c>
      <c r="I189" t="s">
        <v>773</v>
      </c>
      <c r="J189" t="s">
        <v>17</v>
      </c>
      <c r="K189" t="s">
        <v>23</v>
      </c>
      <c r="L189" t="s">
        <v>5</v>
      </c>
      <c r="M189">
        <v>340.92</v>
      </c>
      <c r="N189">
        <v>3</v>
      </c>
      <c r="O189">
        <v>0</v>
      </c>
      <c r="P189">
        <v>3.4091999999999998</v>
      </c>
      <c r="Q189" s="1">
        <v>0.01</v>
      </c>
      <c r="R189" t="s">
        <v>4</v>
      </c>
      <c r="S189" t="s">
        <v>394</v>
      </c>
    </row>
    <row r="190" spans="1:19" x14ac:dyDescent="0.3">
      <c r="A190">
        <v>478</v>
      </c>
      <c r="B190" t="s">
        <v>774</v>
      </c>
      <c r="C190">
        <v>2016</v>
      </c>
      <c r="D190" t="s">
        <v>425</v>
      </c>
      <c r="E190" t="s">
        <v>13</v>
      </c>
      <c r="F190" t="s">
        <v>14</v>
      </c>
      <c r="G190" t="s">
        <v>15</v>
      </c>
      <c r="H190" t="s">
        <v>16</v>
      </c>
      <c r="I190" t="s">
        <v>775</v>
      </c>
      <c r="J190" t="s">
        <v>26</v>
      </c>
      <c r="K190" t="s">
        <v>27</v>
      </c>
      <c r="L190" t="s">
        <v>19</v>
      </c>
      <c r="M190">
        <v>95.76</v>
      </c>
      <c r="N190">
        <v>6</v>
      </c>
      <c r="O190">
        <v>0.2</v>
      </c>
      <c r="P190">
        <v>7.1820000000000004</v>
      </c>
      <c r="Q190" s="1">
        <v>7.4999999999999997E-2</v>
      </c>
      <c r="R190" t="s">
        <v>4</v>
      </c>
      <c r="S190" t="s">
        <v>408</v>
      </c>
    </row>
    <row r="191" spans="1:19" x14ac:dyDescent="0.3">
      <c r="A191">
        <v>479</v>
      </c>
      <c r="B191" t="s">
        <v>776</v>
      </c>
      <c r="C191">
        <v>2016</v>
      </c>
      <c r="D191" t="s">
        <v>399</v>
      </c>
      <c r="E191" t="s">
        <v>6</v>
      </c>
      <c r="F191" t="s">
        <v>69</v>
      </c>
      <c r="G191" t="s">
        <v>67</v>
      </c>
      <c r="H191" t="s">
        <v>48</v>
      </c>
      <c r="I191" t="s">
        <v>650</v>
      </c>
      <c r="J191" t="s">
        <v>10</v>
      </c>
      <c r="K191" t="s">
        <v>24</v>
      </c>
      <c r="L191" t="s">
        <v>19</v>
      </c>
      <c r="M191">
        <v>40.200000000000003</v>
      </c>
      <c r="N191">
        <v>3</v>
      </c>
      <c r="O191">
        <v>0</v>
      </c>
      <c r="P191">
        <v>19.295999999999999</v>
      </c>
      <c r="Q191" s="1">
        <v>0.48</v>
      </c>
      <c r="R191" t="s">
        <v>4</v>
      </c>
      <c r="S191" t="s">
        <v>394</v>
      </c>
    </row>
    <row r="192" spans="1:19" x14ac:dyDescent="0.3">
      <c r="A192">
        <v>480</v>
      </c>
      <c r="B192" t="s">
        <v>777</v>
      </c>
      <c r="C192">
        <v>2016</v>
      </c>
      <c r="D192" t="s">
        <v>396</v>
      </c>
      <c r="E192" t="s">
        <v>13</v>
      </c>
      <c r="F192" t="s">
        <v>66</v>
      </c>
      <c r="G192" t="s">
        <v>67</v>
      </c>
      <c r="H192" t="s">
        <v>48</v>
      </c>
      <c r="I192" t="s">
        <v>778</v>
      </c>
      <c r="J192" t="s">
        <v>17</v>
      </c>
      <c r="K192" t="s">
        <v>25</v>
      </c>
      <c r="L192" t="s">
        <v>19</v>
      </c>
      <c r="M192">
        <v>14.7</v>
      </c>
      <c r="N192">
        <v>5</v>
      </c>
      <c r="O192">
        <v>0</v>
      </c>
      <c r="P192">
        <v>6.6150000000000002</v>
      </c>
      <c r="Q192" s="1">
        <v>0.45</v>
      </c>
      <c r="R192" t="s">
        <v>4</v>
      </c>
      <c r="S192" t="s">
        <v>394</v>
      </c>
    </row>
    <row r="193" spans="1:19" x14ac:dyDescent="0.3">
      <c r="A193">
        <v>482</v>
      </c>
      <c r="B193" t="s">
        <v>779</v>
      </c>
      <c r="C193">
        <v>2014</v>
      </c>
      <c r="D193" t="s">
        <v>399</v>
      </c>
      <c r="E193" t="s">
        <v>6</v>
      </c>
      <c r="F193" t="s">
        <v>134</v>
      </c>
      <c r="G193" t="s">
        <v>15</v>
      </c>
      <c r="H193" t="s">
        <v>16</v>
      </c>
      <c r="I193" t="s">
        <v>780</v>
      </c>
      <c r="J193" t="s">
        <v>26</v>
      </c>
      <c r="K193" t="s">
        <v>50</v>
      </c>
      <c r="L193" t="s">
        <v>19</v>
      </c>
      <c r="M193">
        <v>9.09</v>
      </c>
      <c r="N193">
        <v>3</v>
      </c>
      <c r="O193">
        <v>0</v>
      </c>
      <c r="P193">
        <v>1.9089</v>
      </c>
      <c r="Q193" s="1">
        <v>0.21</v>
      </c>
      <c r="R193" t="s">
        <v>4</v>
      </c>
      <c r="S193" t="s">
        <v>394</v>
      </c>
    </row>
    <row r="194" spans="1:19" x14ac:dyDescent="0.3">
      <c r="A194">
        <v>483</v>
      </c>
      <c r="B194" t="s">
        <v>781</v>
      </c>
      <c r="C194">
        <v>2014</v>
      </c>
      <c r="D194" t="s">
        <v>425</v>
      </c>
      <c r="E194" t="s">
        <v>6</v>
      </c>
      <c r="F194" t="s">
        <v>66</v>
      </c>
      <c r="G194" t="s">
        <v>67</v>
      </c>
      <c r="H194" t="s">
        <v>48</v>
      </c>
      <c r="I194" t="s">
        <v>478</v>
      </c>
      <c r="J194" t="s">
        <v>17</v>
      </c>
      <c r="K194" t="s">
        <v>25</v>
      </c>
      <c r="L194" t="s">
        <v>19</v>
      </c>
      <c r="M194">
        <v>5.96</v>
      </c>
      <c r="N194">
        <v>2</v>
      </c>
      <c r="O194">
        <v>0</v>
      </c>
      <c r="P194">
        <v>1.6688000000000001</v>
      </c>
      <c r="Q194" s="1">
        <v>0.28000000000000003</v>
      </c>
      <c r="R194" t="s">
        <v>4</v>
      </c>
      <c r="S194" t="s">
        <v>394</v>
      </c>
    </row>
    <row r="195" spans="1:19" x14ac:dyDescent="0.3">
      <c r="A195">
        <v>485</v>
      </c>
      <c r="B195" t="s">
        <v>782</v>
      </c>
      <c r="C195">
        <v>2017</v>
      </c>
      <c r="D195" t="s">
        <v>396</v>
      </c>
      <c r="E195" t="s">
        <v>35</v>
      </c>
      <c r="F195" t="s">
        <v>14</v>
      </c>
      <c r="G195" t="s">
        <v>15</v>
      </c>
      <c r="H195" t="s">
        <v>16</v>
      </c>
      <c r="I195" t="s">
        <v>783</v>
      </c>
      <c r="J195" t="s">
        <v>17</v>
      </c>
      <c r="K195" t="s">
        <v>18</v>
      </c>
      <c r="L195" t="s">
        <v>53</v>
      </c>
      <c r="M195">
        <v>29.6</v>
      </c>
      <c r="N195">
        <v>2</v>
      </c>
      <c r="O195">
        <v>0</v>
      </c>
      <c r="P195">
        <v>14.8</v>
      </c>
      <c r="Q195" s="1">
        <v>0.5</v>
      </c>
      <c r="R195" t="s">
        <v>4</v>
      </c>
      <c r="S195" t="s">
        <v>394</v>
      </c>
    </row>
    <row r="196" spans="1:19" x14ac:dyDescent="0.3">
      <c r="A196">
        <v>488</v>
      </c>
      <c r="B196" t="s">
        <v>784</v>
      </c>
      <c r="C196">
        <v>2014</v>
      </c>
      <c r="D196" t="s">
        <v>399</v>
      </c>
      <c r="E196" t="s">
        <v>6</v>
      </c>
      <c r="F196" t="s">
        <v>70</v>
      </c>
      <c r="G196" t="s">
        <v>56</v>
      </c>
      <c r="H196" t="s">
        <v>38</v>
      </c>
      <c r="I196" t="s">
        <v>785</v>
      </c>
      <c r="J196" t="s">
        <v>26</v>
      </c>
      <c r="K196" t="s">
        <v>27</v>
      </c>
      <c r="L196" t="s">
        <v>53</v>
      </c>
      <c r="M196">
        <v>2735.9520000000002</v>
      </c>
      <c r="N196">
        <v>6</v>
      </c>
      <c r="O196">
        <v>0.2</v>
      </c>
      <c r="P196">
        <v>341.99400000000003</v>
      </c>
      <c r="Q196" s="1">
        <v>0.125</v>
      </c>
      <c r="R196" t="s">
        <v>4</v>
      </c>
      <c r="S196" t="s">
        <v>408</v>
      </c>
    </row>
    <row r="197" spans="1:19" x14ac:dyDescent="0.3">
      <c r="A197">
        <v>494</v>
      </c>
      <c r="B197" t="s">
        <v>786</v>
      </c>
      <c r="C197">
        <v>2016</v>
      </c>
      <c r="D197" t="s">
        <v>417</v>
      </c>
      <c r="E197" t="s">
        <v>6</v>
      </c>
      <c r="F197" t="s">
        <v>33</v>
      </c>
      <c r="G197" t="s">
        <v>34</v>
      </c>
      <c r="H197" t="s">
        <v>16</v>
      </c>
      <c r="I197" t="s">
        <v>787</v>
      </c>
      <c r="J197" t="s">
        <v>26</v>
      </c>
      <c r="K197" t="s">
        <v>50</v>
      </c>
      <c r="L197" t="s">
        <v>19</v>
      </c>
      <c r="M197">
        <v>93.98</v>
      </c>
      <c r="N197">
        <v>2</v>
      </c>
      <c r="O197">
        <v>0</v>
      </c>
      <c r="P197">
        <v>13.1572</v>
      </c>
      <c r="Q197" s="1">
        <v>0.14000000000000001</v>
      </c>
      <c r="R197" t="s">
        <v>4</v>
      </c>
      <c r="S197" t="s">
        <v>394</v>
      </c>
    </row>
    <row r="198" spans="1:19" x14ac:dyDescent="0.3">
      <c r="A198">
        <v>495</v>
      </c>
      <c r="B198" t="s">
        <v>788</v>
      </c>
      <c r="C198">
        <v>2016</v>
      </c>
      <c r="D198" t="s">
        <v>447</v>
      </c>
      <c r="E198" t="s">
        <v>6</v>
      </c>
      <c r="F198" t="s">
        <v>76</v>
      </c>
      <c r="G198" t="s">
        <v>77</v>
      </c>
      <c r="H198" t="s">
        <v>9</v>
      </c>
      <c r="I198" t="s">
        <v>789</v>
      </c>
      <c r="J198" t="s">
        <v>10</v>
      </c>
      <c r="K198" t="s">
        <v>22</v>
      </c>
      <c r="L198" t="s">
        <v>5</v>
      </c>
      <c r="M198">
        <v>189.88200000000001</v>
      </c>
      <c r="N198">
        <v>3</v>
      </c>
      <c r="O198">
        <v>0.4</v>
      </c>
      <c r="P198">
        <v>-94.941000000000003</v>
      </c>
      <c r="Q198" s="1">
        <v>-0.5</v>
      </c>
      <c r="R198" t="s">
        <v>401</v>
      </c>
      <c r="S198" t="s">
        <v>402</v>
      </c>
    </row>
    <row r="199" spans="1:19" x14ac:dyDescent="0.3">
      <c r="A199">
        <v>497</v>
      </c>
      <c r="B199" t="s">
        <v>790</v>
      </c>
      <c r="C199">
        <v>2016</v>
      </c>
      <c r="D199" t="s">
        <v>425</v>
      </c>
      <c r="E199" t="s">
        <v>6</v>
      </c>
      <c r="F199" t="s">
        <v>187</v>
      </c>
      <c r="G199" t="s">
        <v>15</v>
      </c>
      <c r="H199" t="s">
        <v>16</v>
      </c>
      <c r="I199" t="s">
        <v>791</v>
      </c>
      <c r="J199" t="s">
        <v>17</v>
      </c>
      <c r="K199" t="s">
        <v>28</v>
      </c>
      <c r="L199" t="s">
        <v>19</v>
      </c>
      <c r="M199">
        <v>119.616</v>
      </c>
      <c r="N199">
        <v>8</v>
      </c>
      <c r="O199">
        <v>0.2</v>
      </c>
      <c r="P199">
        <v>40.370399999999997</v>
      </c>
      <c r="Q199" s="1">
        <v>0.33750000000000002</v>
      </c>
      <c r="R199" t="s">
        <v>4</v>
      </c>
      <c r="S199" t="s">
        <v>408</v>
      </c>
    </row>
    <row r="200" spans="1:19" x14ac:dyDescent="0.3">
      <c r="A200">
        <v>501</v>
      </c>
      <c r="B200" t="s">
        <v>792</v>
      </c>
      <c r="C200">
        <v>2016</v>
      </c>
      <c r="D200" t="s">
        <v>417</v>
      </c>
      <c r="E200" t="s">
        <v>13</v>
      </c>
      <c r="F200" t="s">
        <v>188</v>
      </c>
      <c r="G200" t="s">
        <v>89</v>
      </c>
      <c r="H200" t="s">
        <v>16</v>
      </c>
      <c r="I200" t="s">
        <v>793</v>
      </c>
      <c r="J200" t="s">
        <v>17</v>
      </c>
      <c r="K200" t="s">
        <v>28</v>
      </c>
      <c r="L200" t="s">
        <v>19</v>
      </c>
      <c r="M200">
        <v>22.62</v>
      </c>
      <c r="N200">
        <v>2</v>
      </c>
      <c r="O200">
        <v>0.7</v>
      </c>
      <c r="P200">
        <v>-15.08</v>
      </c>
      <c r="Q200" s="1">
        <v>-0.66666666666666696</v>
      </c>
      <c r="R200" t="s">
        <v>401</v>
      </c>
      <c r="S200" t="s">
        <v>402</v>
      </c>
    </row>
    <row r="201" spans="1:19" x14ac:dyDescent="0.3">
      <c r="A201">
        <v>507</v>
      </c>
      <c r="B201" t="s">
        <v>794</v>
      </c>
      <c r="C201">
        <v>2015</v>
      </c>
      <c r="D201" t="s">
        <v>447</v>
      </c>
      <c r="E201" t="s">
        <v>6</v>
      </c>
      <c r="F201" t="s">
        <v>189</v>
      </c>
      <c r="G201" t="s">
        <v>157</v>
      </c>
      <c r="H201" t="s">
        <v>9</v>
      </c>
      <c r="I201" t="s">
        <v>795</v>
      </c>
      <c r="J201" t="s">
        <v>17</v>
      </c>
      <c r="K201" t="s">
        <v>25</v>
      </c>
      <c r="L201" t="s">
        <v>19</v>
      </c>
      <c r="M201">
        <v>2.74</v>
      </c>
      <c r="N201">
        <v>1</v>
      </c>
      <c r="O201">
        <v>0</v>
      </c>
      <c r="P201">
        <v>0.73980000000000001</v>
      </c>
      <c r="Q201" s="1">
        <v>0.27</v>
      </c>
      <c r="R201" t="s">
        <v>4</v>
      </c>
      <c r="S201" t="s">
        <v>394</v>
      </c>
    </row>
    <row r="202" spans="1:19" x14ac:dyDescent="0.3">
      <c r="A202">
        <v>511</v>
      </c>
      <c r="B202" t="s">
        <v>796</v>
      </c>
      <c r="C202">
        <v>2017</v>
      </c>
      <c r="D202" t="s">
        <v>392</v>
      </c>
      <c r="E202" t="s">
        <v>6</v>
      </c>
      <c r="F202" t="s">
        <v>190</v>
      </c>
      <c r="G202" t="s">
        <v>103</v>
      </c>
      <c r="H202" t="s">
        <v>38</v>
      </c>
      <c r="I202" t="s">
        <v>797</v>
      </c>
      <c r="J202" t="s">
        <v>10</v>
      </c>
      <c r="K202" t="s">
        <v>24</v>
      </c>
      <c r="L202" t="s">
        <v>53</v>
      </c>
      <c r="M202">
        <v>126.3</v>
      </c>
      <c r="N202">
        <v>3</v>
      </c>
      <c r="O202">
        <v>0</v>
      </c>
      <c r="P202">
        <v>40.415999999999997</v>
      </c>
      <c r="Q202" s="1">
        <v>0.32</v>
      </c>
      <c r="R202" t="s">
        <v>4</v>
      </c>
      <c r="S202" t="s">
        <v>394</v>
      </c>
    </row>
    <row r="203" spans="1:19" x14ac:dyDescent="0.3">
      <c r="A203">
        <v>513</v>
      </c>
      <c r="B203" t="s">
        <v>798</v>
      </c>
      <c r="C203">
        <v>2016</v>
      </c>
      <c r="D203" t="s">
        <v>399</v>
      </c>
      <c r="E203" t="s">
        <v>6</v>
      </c>
      <c r="F203" t="s">
        <v>105</v>
      </c>
      <c r="G203" t="s">
        <v>95</v>
      </c>
      <c r="H203" t="s">
        <v>48</v>
      </c>
      <c r="I203" t="s">
        <v>478</v>
      </c>
      <c r="J203" t="s">
        <v>17</v>
      </c>
      <c r="K203" t="s">
        <v>25</v>
      </c>
      <c r="L203" t="s">
        <v>53</v>
      </c>
      <c r="M203">
        <v>7.1520000000000001</v>
      </c>
      <c r="N203">
        <v>3</v>
      </c>
      <c r="O203">
        <v>0.2</v>
      </c>
      <c r="P203">
        <v>0.71519999999999995</v>
      </c>
      <c r="Q203" s="1">
        <v>0.1</v>
      </c>
      <c r="R203" t="s">
        <v>4</v>
      </c>
      <c r="S203" t="s">
        <v>408</v>
      </c>
    </row>
    <row r="204" spans="1:19" x14ac:dyDescent="0.3">
      <c r="A204">
        <v>514</v>
      </c>
      <c r="B204" t="s">
        <v>799</v>
      </c>
      <c r="C204">
        <v>2017</v>
      </c>
      <c r="D204" t="s">
        <v>410</v>
      </c>
      <c r="E204" t="s">
        <v>6</v>
      </c>
      <c r="F204" t="s">
        <v>14</v>
      </c>
      <c r="G204" t="s">
        <v>15</v>
      </c>
      <c r="H204" t="s">
        <v>16</v>
      </c>
      <c r="I204" t="s">
        <v>800</v>
      </c>
      <c r="J204" t="s">
        <v>17</v>
      </c>
      <c r="K204" t="s">
        <v>25</v>
      </c>
      <c r="L204" t="s">
        <v>19</v>
      </c>
      <c r="M204">
        <v>6.63</v>
      </c>
      <c r="N204">
        <v>3</v>
      </c>
      <c r="O204">
        <v>0</v>
      </c>
      <c r="P204">
        <v>1.7901</v>
      </c>
      <c r="Q204" s="1">
        <v>0.27</v>
      </c>
      <c r="R204" t="s">
        <v>4</v>
      </c>
      <c r="S204" t="s">
        <v>394</v>
      </c>
    </row>
    <row r="205" spans="1:19" x14ac:dyDescent="0.3">
      <c r="A205">
        <v>516</v>
      </c>
      <c r="B205" t="s">
        <v>801</v>
      </c>
      <c r="C205">
        <v>2017</v>
      </c>
      <c r="D205" t="s">
        <v>430</v>
      </c>
      <c r="E205" t="s">
        <v>35</v>
      </c>
      <c r="F205" t="s">
        <v>191</v>
      </c>
      <c r="G205" t="s">
        <v>192</v>
      </c>
      <c r="H205" t="s">
        <v>16</v>
      </c>
      <c r="I205" t="s">
        <v>802</v>
      </c>
      <c r="J205" t="s">
        <v>26</v>
      </c>
      <c r="K205" t="s">
        <v>152</v>
      </c>
      <c r="L205" t="s">
        <v>19</v>
      </c>
      <c r="M205">
        <v>2999.95</v>
      </c>
      <c r="N205">
        <v>5</v>
      </c>
      <c r="O205">
        <v>0</v>
      </c>
      <c r="P205">
        <v>1379.9770000000001</v>
      </c>
      <c r="Q205" s="1">
        <v>0.46</v>
      </c>
      <c r="R205" t="s">
        <v>4</v>
      </c>
      <c r="S205" t="s">
        <v>394</v>
      </c>
    </row>
    <row r="206" spans="1:19" x14ac:dyDescent="0.3">
      <c r="A206">
        <v>520</v>
      </c>
      <c r="B206" t="s">
        <v>803</v>
      </c>
      <c r="C206">
        <v>2015</v>
      </c>
      <c r="D206" t="s">
        <v>447</v>
      </c>
      <c r="E206" t="s">
        <v>6</v>
      </c>
      <c r="F206" t="s">
        <v>52</v>
      </c>
      <c r="G206" t="s">
        <v>37</v>
      </c>
      <c r="H206" t="s">
        <v>38</v>
      </c>
      <c r="I206" t="s">
        <v>448</v>
      </c>
      <c r="J206" t="s">
        <v>26</v>
      </c>
      <c r="K206" t="s">
        <v>50</v>
      </c>
      <c r="L206" t="s">
        <v>19</v>
      </c>
      <c r="M206">
        <v>18.391999999999999</v>
      </c>
      <c r="N206">
        <v>1</v>
      </c>
      <c r="O206">
        <v>0.2</v>
      </c>
      <c r="P206">
        <v>5.2877000000000001</v>
      </c>
      <c r="Q206" s="1">
        <v>0.28749999999999998</v>
      </c>
      <c r="R206" t="s">
        <v>4</v>
      </c>
      <c r="S206" t="s">
        <v>408</v>
      </c>
    </row>
    <row r="207" spans="1:19" x14ac:dyDescent="0.3">
      <c r="A207">
        <v>523</v>
      </c>
      <c r="B207" t="s">
        <v>804</v>
      </c>
      <c r="C207">
        <v>2017</v>
      </c>
      <c r="D207" t="s">
        <v>430</v>
      </c>
      <c r="E207" t="s">
        <v>13</v>
      </c>
      <c r="F207" t="s">
        <v>130</v>
      </c>
      <c r="G207" t="s">
        <v>61</v>
      </c>
      <c r="H207" t="s">
        <v>38</v>
      </c>
      <c r="I207" t="s">
        <v>789</v>
      </c>
      <c r="J207" t="s">
        <v>10</v>
      </c>
      <c r="K207" t="s">
        <v>22</v>
      </c>
      <c r="L207" t="s">
        <v>53</v>
      </c>
      <c r="M207">
        <v>210.98</v>
      </c>
      <c r="N207">
        <v>2</v>
      </c>
      <c r="O207">
        <v>0</v>
      </c>
      <c r="P207">
        <v>21.097999999999999</v>
      </c>
      <c r="Q207" s="1">
        <v>0.1</v>
      </c>
      <c r="R207" t="s">
        <v>4</v>
      </c>
      <c r="S207" t="s">
        <v>394</v>
      </c>
    </row>
    <row r="208" spans="1:19" x14ac:dyDescent="0.3">
      <c r="A208">
        <v>524</v>
      </c>
      <c r="B208" t="s">
        <v>805</v>
      </c>
      <c r="C208">
        <v>2016</v>
      </c>
      <c r="D208" t="s">
        <v>417</v>
      </c>
      <c r="E208" t="s">
        <v>6</v>
      </c>
      <c r="F208" t="s">
        <v>14</v>
      </c>
      <c r="G208" t="s">
        <v>15</v>
      </c>
      <c r="H208" t="s">
        <v>16</v>
      </c>
      <c r="I208" t="s">
        <v>806</v>
      </c>
      <c r="J208" t="s">
        <v>26</v>
      </c>
      <c r="K208" t="s">
        <v>27</v>
      </c>
      <c r="L208" t="s">
        <v>53</v>
      </c>
      <c r="M208">
        <v>55.176000000000002</v>
      </c>
      <c r="N208">
        <v>3</v>
      </c>
      <c r="O208">
        <v>0.2</v>
      </c>
      <c r="P208">
        <v>-12.4146</v>
      </c>
      <c r="Q208" s="1">
        <v>-0.22500000000000001</v>
      </c>
      <c r="R208" t="s">
        <v>401</v>
      </c>
      <c r="S208" t="s">
        <v>408</v>
      </c>
    </row>
    <row r="209" spans="1:19" x14ac:dyDescent="0.3">
      <c r="A209">
        <v>526</v>
      </c>
      <c r="B209" t="s">
        <v>807</v>
      </c>
      <c r="C209">
        <v>2015</v>
      </c>
      <c r="D209" t="s">
        <v>410</v>
      </c>
      <c r="E209" t="s">
        <v>6</v>
      </c>
      <c r="F209" t="s">
        <v>174</v>
      </c>
      <c r="G209" t="s">
        <v>156</v>
      </c>
      <c r="H209" t="s">
        <v>48</v>
      </c>
      <c r="I209" t="s">
        <v>808</v>
      </c>
      <c r="J209" t="s">
        <v>17</v>
      </c>
      <c r="K209" t="s">
        <v>68</v>
      </c>
      <c r="L209" t="s">
        <v>19</v>
      </c>
      <c r="M209">
        <v>22.2</v>
      </c>
      <c r="N209">
        <v>5</v>
      </c>
      <c r="O209">
        <v>0</v>
      </c>
      <c r="P209">
        <v>10.433999999999999</v>
      </c>
      <c r="Q209" s="1">
        <v>0.47</v>
      </c>
      <c r="R209" t="s">
        <v>4</v>
      </c>
      <c r="S209" t="s">
        <v>394</v>
      </c>
    </row>
    <row r="210" spans="1:19" x14ac:dyDescent="0.3">
      <c r="A210">
        <v>527</v>
      </c>
      <c r="B210" t="s">
        <v>809</v>
      </c>
      <c r="C210">
        <v>2017</v>
      </c>
      <c r="D210" t="s">
        <v>399</v>
      </c>
      <c r="E210" t="s">
        <v>35</v>
      </c>
      <c r="F210" t="s">
        <v>193</v>
      </c>
      <c r="G210" t="s">
        <v>21</v>
      </c>
      <c r="H210" t="s">
        <v>9</v>
      </c>
      <c r="I210" t="s">
        <v>810</v>
      </c>
      <c r="J210" t="s">
        <v>10</v>
      </c>
      <c r="K210" t="s">
        <v>12</v>
      </c>
      <c r="L210" t="s">
        <v>19</v>
      </c>
      <c r="M210">
        <v>683.952</v>
      </c>
      <c r="N210">
        <v>3</v>
      </c>
      <c r="O210">
        <v>0.2</v>
      </c>
      <c r="P210">
        <v>42.747</v>
      </c>
      <c r="Q210" s="1">
        <v>6.25E-2</v>
      </c>
      <c r="R210" t="s">
        <v>4</v>
      </c>
      <c r="S210" t="s">
        <v>408</v>
      </c>
    </row>
    <row r="211" spans="1:19" x14ac:dyDescent="0.3">
      <c r="A211">
        <v>532</v>
      </c>
      <c r="B211" t="s">
        <v>811</v>
      </c>
      <c r="C211">
        <v>2015</v>
      </c>
      <c r="D211" t="s">
        <v>392</v>
      </c>
      <c r="E211" t="s">
        <v>13</v>
      </c>
      <c r="F211" t="s">
        <v>14</v>
      </c>
      <c r="G211" t="s">
        <v>15</v>
      </c>
      <c r="H211" t="s">
        <v>16</v>
      </c>
      <c r="I211" t="s">
        <v>812</v>
      </c>
      <c r="J211" t="s">
        <v>10</v>
      </c>
      <c r="K211" t="s">
        <v>12</v>
      </c>
      <c r="L211" t="s">
        <v>5</v>
      </c>
      <c r="M211">
        <v>190.72</v>
      </c>
      <c r="N211">
        <v>1</v>
      </c>
      <c r="O211">
        <v>0.2</v>
      </c>
      <c r="P211">
        <v>11.92</v>
      </c>
      <c r="Q211" s="1">
        <v>6.25E-2</v>
      </c>
      <c r="R211" t="s">
        <v>4</v>
      </c>
      <c r="S211" t="s">
        <v>408</v>
      </c>
    </row>
    <row r="212" spans="1:19" x14ac:dyDescent="0.3">
      <c r="A212">
        <v>533</v>
      </c>
      <c r="B212" t="s">
        <v>813</v>
      </c>
      <c r="C212">
        <v>2017</v>
      </c>
      <c r="D212" t="s">
        <v>428</v>
      </c>
      <c r="E212" t="s">
        <v>6</v>
      </c>
      <c r="F212" t="s">
        <v>14</v>
      </c>
      <c r="G212" t="s">
        <v>15</v>
      </c>
      <c r="H212" t="s">
        <v>16</v>
      </c>
      <c r="I212" t="s">
        <v>814</v>
      </c>
      <c r="J212" t="s">
        <v>10</v>
      </c>
      <c r="K212" t="s">
        <v>24</v>
      </c>
      <c r="L212" t="s">
        <v>19</v>
      </c>
      <c r="M212">
        <v>47.94</v>
      </c>
      <c r="N212">
        <v>3</v>
      </c>
      <c r="O212">
        <v>0</v>
      </c>
      <c r="P212">
        <v>2.3969999999999998</v>
      </c>
      <c r="Q212" s="1">
        <v>0.05</v>
      </c>
      <c r="R212" t="s">
        <v>4</v>
      </c>
      <c r="S212" t="s">
        <v>394</v>
      </c>
    </row>
    <row r="213" spans="1:19" x14ac:dyDescent="0.3">
      <c r="A213">
        <v>534</v>
      </c>
      <c r="B213" t="s">
        <v>815</v>
      </c>
      <c r="C213">
        <v>2016</v>
      </c>
      <c r="D213" t="s">
        <v>417</v>
      </c>
      <c r="E213" t="s">
        <v>6</v>
      </c>
      <c r="F213" t="s">
        <v>194</v>
      </c>
      <c r="G213" t="s">
        <v>79</v>
      </c>
      <c r="H213" t="s">
        <v>9</v>
      </c>
      <c r="I213" t="s">
        <v>816</v>
      </c>
      <c r="J213" t="s">
        <v>26</v>
      </c>
      <c r="K213" t="s">
        <v>27</v>
      </c>
      <c r="L213" t="s">
        <v>5</v>
      </c>
      <c r="M213">
        <v>979.95</v>
      </c>
      <c r="N213">
        <v>5</v>
      </c>
      <c r="O213">
        <v>0</v>
      </c>
      <c r="P213">
        <v>274.38600000000002</v>
      </c>
      <c r="Q213" s="1">
        <v>0.28000000000000003</v>
      </c>
      <c r="R213" t="s">
        <v>4</v>
      </c>
      <c r="S213" t="s">
        <v>394</v>
      </c>
    </row>
    <row r="214" spans="1:19" x14ac:dyDescent="0.3">
      <c r="A214">
        <v>536</v>
      </c>
      <c r="B214" t="s">
        <v>817</v>
      </c>
      <c r="C214">
        <v>2016</v>
      </c>
      <c r="D214" t="s">
        <v>425</v>
      </c>
      <c r="E214" t="s">
        <v>6</v>
      </c>
      <c r="F214" t="s">
        <v>195</v>
      </c>
      <c r="G214" t="s">
        <v>72</v>
      </c>
      <c r="H214" t="s">
        <v>16</v>
      </c>
      <c r="I214" t="s">
        <v>818</v>
      </c>
      <c r="J214" t="s">
        <v>17</v>
      </c>
      <c r="K214" t="s">
        <v>23</v>
      </c>
      <c r="L214" t="s">
        <v>19</v>
      </c>
      <c r="M214">
        <v>16.768000000000001</v>
      </c>
      <c r="N214">
        <v>2</v>
      </c>
      <c r="O214">
        <v>0.2</v>
      </c>
      <c r="P214">
        <v>1.4672000000000001</v>
      </c>
      <c r="Q214" s="1">
        <v>8.7499999999999994E-2</v>
      </c>
      <c r="R214" t="s">
        <v>4</v>
      </c>
      <c r="S214" t="s">
        <v>408</v>
      </c>
    </row>
    <row r="215" spans="1:19" x14ac:dyDescent="0.3">
      <c r="A215">
        <v>537</v>
      </c>
      <c r="B215" t="s">
        <v>819</v>
      </c>
      <c r="C215">
        <v>2017</v>
      </c>
      <c r="D215" t="s">
        <v>428</v>
      </c>
      <c r="E215" t="s">
        <v>6</v>
      </c>
      <c r="F215" t="s">
        <v>70</v>
      </c>
      <c r="G215" t="s">
        <v>56</v>
      </c>
      <c r="H215" t="s">
        <v>38</v>
      </c>
      <c r="I215" t="s">
        <v>820</v>
      </c>
      <c r="J215" t="s">
        <v>17</v>
      </c>
      <c r="K215" t="s">
        <v>28</v>
      </c>
      <c r="L215" t="s">
        <v>5</v>
      </c>
      <c r="M215">
        <v>42.616</v>
      </c>
      <c r="N215">
        <v>7</v>
      </c>
      <c r="O215">
        <v>0.8</v>
      </c>
      <c r="P215">
        <v>-68.185599999999994</v>
      </c>
      <c r="Q215" s="1">
        <v>-1.6</v>
      </c>
      <c r="R215" t="s">
        <v>401</v>
      </c>
      <c r="S215" t="s">
        <v>402</v>
      </c>
    </row>
    <row r="216" spans="1:19" x14ac:dyDescent="0.3">
      <c r="A216">
        <v>539</v>
      </c>
      <c r="B216" t="s">
        <v>821</v>
      </c>
      <c r="C216">
        <v>2015</v>
      </c>
      <c r="D216" t="s">
        <v>410</v>
      </c>
      <c r="E216" t="s">
        <v>6</v>
      </c>
      <c r="F216" t="s">
        <v>7</v>
      </c>
      <c r="G216" t="s">
        <v>8</v>
      </c>
      <c r="H216" t="s">
        <v>9</v>
      </c>
      <c r="I216" t="s">
        <v>822</v>
      </c>
      <c r="J216" t="s">
        <v>17</v>
      </c>
      <c r="K216" t="s">
        <v>29</v>
      </c>
      <c r="L216" t="s">
        <v>19</v>
      </c>
      <c r="M216">
        <v>152.94</v>
      </c>
      <c r="N216">
        <v>3</v>
      </c>
      <c r="O216">
        <v>0</v>
      </c>
      <c r="P216">
        <v>41.293799999999997</v>
      </c>
      <c r="Q216" s="1">
        <v>0.27</v>
      </c>
      <c r="R216" t="s">
        <v>4</v>
      </c>
      <c r="S216" t="s">
        <v>394</v>
      </c>
    </row>
    <row r="217" spans="1:19" x14ac:dyDescent="0.3">
      <c r="A217">
        <v>541</v>
      </c>
      <c r="B217" t="s">
        <v>823</v>
      </c>
      <c r="C217">
        <v>2014</v>
      </c>
      <c r="D217" t="s">
        <v>529</v>
      </c>
      <c r="E217" t="s">
        <v>6</v>
      </c>
      <c r="F217" t="s">
        <v>196</v>
      </c>
      <c r="G217" t="s">
        <v>40</v>
      </c>
      <c r="H217" t="s">
        <v>38</v>
      </c>
      <c r="I217" t="s">
        <v>824</v>
      </c>
      <c r="J217" t="s">
        <v>26</v>
      </c>
      <c r="K217" t="s">
        <v>50</v>
      </c>
      <c r="L217" t="s">
        <v>53</v>
      </c>
      <c r="M217">
        <v>468.9</v>
      </c>
      <c r="N217">
        <v>6</v>
      </c>
      <c r="O217">
        <v>0</v>
      </c>
      <c r="P217">
        <v>206.316</v>
      </c>
      <c r="Q217" s="1">
        <v>0.44</v>
      </c>
      <c r="R217" t="s">
        <v>4</v>
      </c>
      <c r="S217" t="s">
        <v>394</v>
      </c>
    </row>
    <row r="218" spans="1:19" x14ac:dyDescent="0.3">
      <c r="A218">
        <v>542</v>
      </c>
      <c r="B218" t="s">
        <v>825</v>
      </c>
      <c r="C218">
        <v>2016</v>
      </c>
      <c r="D218" t="s">
        <v>425</v>
      </c>
      <c r="E218" t="s">
        <v>13</v>
      </c>
      <c r="F218" t="s">
        <v>161</v>
      </c>
      <c r="G218" t="s">
        <v>72</v>
      </c>
      <c r="H218" t="s">
        <v>16</v>
      </c>
      <c r="I218" t="s">
        <v>826</v>
      </c>
      <c r="J218" t="s">
        <v>26</v>
      </c>
      <c r="K218" t="s">
        <v>27</v>
      </c>
      <c r="L218" t="s">
        <v>53</v>
      </c>
      <c r="M218">
        <v>380.86399999999998</v>
      </c>
      <c r="N218">
        <v>8</v>
      </c>
      <c r="O218">
        <v>0.2</v>
      </c>
      <c r="P218">
        <v>38.086399999999998</v>
      </c>
      <c r="Q218" s="1">
        <v>0.1</v>
      </c>
      <c r="R218" t="s">
        <v>4</v>
      </c>
      <c r="S218" t="s">
        <v>408</v>
      </c>
    </row>
    <row r="219" spans="1:19" x14ac:dyDescent="0.3">
      <c r="A219">
        <v>543</v>
      </c>
      <c r="B219" t="s">
        <v>827</v>
      </c>
      <c r="C219">
        <v>2015</v>
      </c>
      <c r="D219" t="s">
        <v>410</v>
      </c>
      <c r="E219" t="s">
        <v>6</v>
      </c>
      <c r="F219" t="s">
        <v>73</v>
      </c>
      <c r="G219" t="s">
        <v>95</v>
      </c>
      <c r="H219" t="s">
        <v>48</v>
      </c>
      <c r="I219" t="s">
        <v>828</v>
      </c>
      <c r="J219" t="s">
        <v>17</v>
      </c>
      <c r="K219" t="s">
        <v>23</v>
      </c>
      <c r="L219" t="s">
        <v>19</v>
      </c>
      <c r="M219">
        <v>646.77599999999995</v>
      </c>
      <c r="N219">
        <v>9</v>
      </c>
      <c r="O219">
        <v>0.2</v>
      </c>
      <c r="P219">
        <v>-145.52459999999999</v>
      </c>
      <c r="Q219" s="1">
        <v>-0.22500000000000001</v>
      </c>
      <c r="R219" t="s">
        <v>401</v>
      </c>
      <c r="S219" t="s">
        <v>408</v>
      </c>
    </row>
    <row r="220" spans="1:19" x14ac:dyDescent="0.3">
      <c r="A220">
        <v>544</v>
      </c>
      <c r="B220" t="s">
        <v>829</v>
      </c>
      <c r="C220">
        <v>2014</v>
      </c>
      <c r="D220" t="s">
        <v>417</v>
      </c>
      <c r="E220" t="s">
        <v>6</v>
      </c>
      <c r="F220" t="s">
        <v>36</v>
      </c>
      <c r="G220" t="s">
        <v>37</v>
      </c>
      <c r="H220" t="s">
        <v>38</v>
      </c>
      <c r="I220" t="s">
        <v>830</v>
      </c>
      <c r="J220" t="s">
        <v>26</v>
      </c>
      <c r="K220" t="s">
        <v>50</v>
      </c>
      <c r="L220" t="s">
        <v>19</v>
      </c>
      <c r="M220">
        <v>58.112000000000002</v>
      </c>
      <c r="N220">
        <v>2</v>
      </c>
      <c r="O220">
        <v>0.2</v>
      </c>
      <c r="P220">
        <v>7.2640000000000002</v>
      </c>
      <c r="Q220" s="1">
        <v>0.125</v>
      </c>
      <c r="R220" t="s">
        <v>4</v>
      </c>
      <c r="S220" t="s">
        <v>408</v>
      </c>
    </row>
    <row r="221" spans="1:19" x14ac:dyDescent="0.3">
      <c r="A221">
        <v>549</v>
      </c>
      <c r="B221" t="s">
        <v>831</v>
      </c>
      <c r="C221">
        <v>2015</v>
      </c>
      <c r="D221" t="s">
        <v>392</v>
      </c>
      <c r="E221" t="s">
        <v>13</v>
      </c>
      <c r="F221" t="s">
        <v>70</v>
      </c>
      <c r="G221" t="s">
        <v>56</v>
      </c>
      <c r="H221" t="s">
        <v>38</v>
      </c>
      <c r="I221" t="s">
        <v>458</v>
      </c>
      <c r="J221" t="s">
        <v>17</v>
      </c>
      <c r="K221" t="s">
        <v>23</v>
      </c>
      <c r="L221" t="s">
        <v>5</v>
      </c>
      <c r="M221">
        <v>250.27199999999999</v>
      </c>
      <c r="N221">
        <v>9</v>
      </c>
      <c r="O221">
        <v>0.2</v>
      </c>
      <c r="P221">
        <v>15.641999999999999</v>
      </c>
      <c r="Q221" s="1">
        <v>6.25E-2</v>
      </c>
      <c r="R221" t="s">
        <v>4</v>
      </c>
      <c r="S221" t="s">
        <v>408</v>
      </c>
    </row>
    <row r="222" spans="1:19" x14ac:dyDescent="0.3">
      <c r="A222">
        <v>553</v>
      </c>
      <c r="B222" t="s">
        <v>832</v>
      </c>
      <c r="C222">
        <v>2017</v>
      </c>
      <c r="D222" t="s">
        <v>428</v>
      </c>
      <c r="E222" t="s">
        <v>6</v>
      </c>
      <c r="F222" t="s">
        <v>179</v>
      </c>
      <c r="G222" t="s">
        <v>21</v>
      </c>
      <c r="H222" t="s">
        <v>9</v>
      </c>
      <c r="I222" t="s">
        <v>833</v>
      </c>
      <c r="J222" t="s">
        <v>10</v>
      </c>
      <c r="K222" t="s">
        <v>24</v>
      </c>
      <c r="L222" t="s">
        <v>53</v>
      </c>
      <c r="M222">
        <v>34.503999999999998</v>
      </c>
      <c r="N222">
        <v>1</v>
      </c>
      <c r="O222">
        <v>0.2</v>
      </c>
      <c r="P222">
        <v>6.0381999999999998</v>
      </c>
      <c r="Q222" s="1">
        <v>0.17499999999999999</v>
      </c>
      <c r="R222" t="s">
        <v>4</v>
      </c>
      <c r="S222" t="s">
        <v>408</v>
      </c>
    </row>
    <row r="223" spans="1:19" x14ac:dyDescent="0.3">
      <c r="A223">
        <v>554</v>
      </c>
      <c r="B223" t="s">
        <v>834</v>
      </c>
      <c r="C223">
        <v>2017</v>
      </c>
      <c r="D223" t="s">
        <v>392</v>
      </c>
      <c r="E223" t="s">
        <v>6</v>
      </c>
      <c r="F223" t="s">
        <v>52</v>
      </c>
      <c r="G223" t="s">
        <v>37</v>
      </c>
      <c r="H223" t="s">
        <v>38</v>
      </c>
      <c r="I223" t="s">
        <v>835</v>
      </c>
      <c r="J223" t="s">
        <v>17</v>
      </c>
      <c r="K223" t="s">
        <v>68</v>
      </c>
      <c r="L223" t="s">
        <v>19</v>
      </c>
      <c r="M223">
        <v>10.824</v>
      </c>
      <c r="N223">
        <v>3</v>
      </c>
      <c r="O223">
        <v>0.2</v>
      </c>
      <c r="P223">
        <v>2.5707</v>
      </c>
      <c r="Q223" s="1">
        <v>0.23749999999999999</v>
      </c>
      <c r="R223" t="s">
        <v>4</v>
      </c>
      <c r="S223" t="s">
        <v>408</v>
      </c>
    </row>
    <row r="224" spans="1:19" x14ac:dyDescent="0.3">
      <c r="A224">
        <v>555</v>
      </c>
      <c r="B224" t="s">
        <v>836</v>
      </c>
      <c r="C224">
        <v>2017</v>
      </c>
      <c r="D224" t="s">
        <v>396</v>
      </c>
      <c r="E224" t="s">
        <v>13</v>
      </c>
      <c r="F224" t="s">
        <v>197</v>
      </c>
      <c r="G224" t="s">
        <v>15</v>
      </c>
      <c r="H224" t="s">
        <v>16</v>
      </c>
      <c r="I224" t="s">
        <v>837</v>
      </c>
      <c r="J224" t="s">
        <v>17</v>
      </c>
      <c r="K224" t="s">
        <v>23</v>
      </c>
      <c r="L224" t="s">
        <v>5</v>
      </c>
      <c r="M224">
        <v>1295.78</v>
      </c>
      <c r="N224">
        <v>2</v>
      </c>
      <c r="O224">
        <v>0</v>
      </c>
      <c r="P224">
        <v>310.98719999999997</v>
      </c>
      <c r="Q224" s="1">
        <v>0.24</v>
      </c>
      <c r="R224" t="s">
        <v>4</v>
      </c>
      <c r="S224" t="s">
        <v>394</v>
      </c>
    </row>
    <row r="225" spans="1:19" x14ac:dyDescent="0.3">
      <c r="A225">
        <v>556</v>
      </c>
      <c r="B225" t="s">
        <v>838</v>
      </c>
      <c r="C225">
        <v>2014</v>
      </c>
      <c r="D225" t="s">
        <v>447</v>
      </c>
      <c r="E225" t="s">
        <v>6</v>
      </c>
      <c r="F225" t="s">
        <v>97</v>
      </c>
      <c r="G225" t="s">
        <v>31</v>
      </c>
      <c r="H225" t="s">
        <v>9</v>
      </c>
      <c r="I225" t="s">
        <v>839</v>
      </c>
      <c r="J225" t="s">
        <v>17</v>
      </c>
      <c r="K225" t="s">
        <v>25</v>
      </c>
      <c r="L225" t="s">
        <v>5</v>
      </c>
      <c r="M225">
        <v>19.456</v>
      </c>
      <c r="N225">
        <v>4</v>
      </c>
      <c r="O225">
        <v>0.2</v>
      </c>
      <c r="P225">
        <v>3.4047999999999998</v>
      </c>
      <c r="Q225" s="1">
        <v>0.17499999999999999</v>
      </c>
      <c r="R225" t="s">
        <v>4</v>
      </c>
      <c r="S225" t="s">
        <v>408</v>
      </c>
    </row>
    <row r="226" spans="1:19" x14ac:dyDescent="0.3">
      <c r="A226">
        <v>557</v>
      </c>
      <c r="B226" t="s">
        <v>840</v>
      </c>
      <c r="C226">
        <v>2016</v>
      </c>
      <c r="D226" t="s">
        <v>396</v>
      </c>
      <c r="E226" t="s">
        <v>6</v>
      </c>
      <c r="F226" t="s">
        <v>14</v>
      </c>
      <c r="G226" t="s">
        <v>15</v>
      </c>
      <c r="H226" t="s">
        <v>16</v>
      </c>
      <c r="I226" t="s">
        <v>841</v>
      </c>
      <c r="J226" t="s">
        <v>17</v>
      </c>
      <c r="K226" t="s">
        <v>18</v>
      </c>
      <c r="L226" t="s">
        <v>19</v>
      </c>
      <c r="M226">
        <v>20.7</v>
      </c>
      <c r="N226">
        <v>2</v>
      </c>
      <c r="O226">
        <v>0</v>
      </c>
      <c r="P226">
        <v>9.9359999999999999</v>
      </c>
      <c r="Q226" s="1">
        <v>0.48</v>
      </c>
      <c r="R226" t="s">
        <v>4</v>
      </c>
      <c r="S226" t="s">
        <v>394</v>
      </c>
    </row>
    <row r="227" spans="1:19" x14ac:dyDescent="0.3">
      <c r="A227">
        <v>560</v>
      </c>
      <c r="B227" t="s">
        <v>842</v>
      </c>
      <c r="C227">
        <v>2017</v>
      </c>
      <c r="D227" t="s">
        <v>392</v>
      </c>
      <c r="E227" t="s">
        <v>6</v>
      </c>
      <c r="F227" t="s">
        <v>43</v>
      </c>
      <c r="G227" t="s">
        <v>15</v>
      </c>
      <c r="H227" t="s">
        <v>16</v>
      </c>
      <c r="I227" t="s">
        <v>843</v>
      </c>
      <c r="J227" t="s">
        <v>10</v>
      </c>
      <c r="K227" t="s">
        <v>24</v>
      </c>
      <c r="L227" t="s">
        <v>5</v>
      </c>
      <c r="M227">
        <v>42.6</v>
      </c>
      <c r="N227">
        <v>3</v>
      </c>
      <c r="O227">
        <v>0</v>
      </c>
      <c r="P227">
        <v>16.614000000000001</v>
      </c>
      <c r="Q227" s="1">
        <v>0.39</v>
      </c>
      <c r="R227" t="s">
        <v>4</v>
      </c>
      <c r="S227" t="s">
        <v>394</v>
      </c>
    </row>
    <row r="228" spans="1:19" x14ac:dyDescent="0.3">
      <c r="A228">
        <v>566</v>
      </c>
      <c r="B228" t="s">
        <v>844</v>
      </c>
      <c r="C228">
        <v>2017</v>
      </c>
      <c r="D228" t="s">
        <v>410</v>
      </c>
      <c r="E228" t="s">
        <v>6</v>
      </c>
      <c r="F228" t="s">
        <v>14</v>
      </c>
      <c r="G228" t="s">
        <v>15</v>
      </c>
      <c r="H228" t="s">
        <v>16</v>
      </c>
      <c r="I228" t="s">
        <v>845</v>
      </c>
      <c r="J228" t="s">
        <v>26</v>
      </c>
      <c r="K228" t="s">
        <v>27</v>
      </c>
      <c r="L228" t="s">
        <v>53</v>
      </c>
      <c r="M228">
        <v>374.37599999999998</v>
      </c>
      <c r="N228">
        <v>3</v>
      </c>
      <c r="O228">
        <v>0.2</v>
      </c>
      <c r="P228">
        <v>46.796999999999997</v>
      </c>
      <c r="Q228" s="1">
        <v>0.125</v>
      </c>
      <c r="R228" t="s">
        <v>4</v>
      </c>
      <c r="S228" t="s">
        <v>408</v>
      </c>
    </row>
    <row r="229" spans="1:19" x14ac:dyDescent="0.3">
      <c r="A229">
        <v>576</v>
      </c>
      <c r="B229" t="s">
        <v>846</v>
      </c>
      <c r="C229">
        <v>2015</v>
      </c>
      <c r="D229" t="s">
        <v>428</v>
      </c>
      <c r="E229" t="s">
        <v>6</v>
      </c>
      <c r="F229" t="s">
        <v>149</v>
      </c>
      <c r="G229" t="s">
        <v>15</v>
      </c>
      <c r="H229" t="s">
        <v>16</v>
      </c>
      <c r="I229" t="s">
        <v>847</v>
      </c>
      <c r="J229" t="s">
        <v>17</v>
      </c>
      <c r="K229" t="s">
        <v>32</v>
      </c>
      <c r="L229" t="s">
        <v>5</v>
      </c>
      <c r="M229">
        <v>160.72</v>
      </c>
      <c r="N229">
        <v>14</v>
      </c>
      <c r="O229">
        <v>0</v>
      </c>
      <c r="P229">
        <v>78.752799999999993</v>
      </c>
      <c r="Q229" s="1">
        <v>0.49</v>
      </c>
      <c r="R229" t="s">
        <v>4</v>
      </c>
      <c r="S229" t="s">
        <v>394</v>
      </c>
    </row>
    <row r="230" spans="1:19" x14ac:dyDescent="0.3">
      <c r="A230">
        <v>579</v>
      </c>
      <c r="B230" t="s">
        <v>848</v>
      </c>
      <c r="C230">
        <v>2017</v>
      </c>
      <c r="D230" t="s">
        <v>425</v>
      </c>
      <c r="E230" t="s">
        <v>6</v>
      </c>
      <c r="F230" t="s">
        <v>70</v>
      </c>
      <c r="G230" t="s">
        <v>56</v>
      </c>
      <c r="H230" t="s">
        <v>38</v>
      </c>
      <c r="I230" t="s">
        <v>849</v>
      </c>
      <c r="J230" t="s">
        <v>17</v>
      </c>
      <c r="K230" t="s">
        <v>23</v>
      </c>
      <c r="L230" t="s">
        <v>19</v>
      </c>
      <c r="M230">
        <v>69.712000000000003</v>
      </c>
      <c r="N230">
        <v>2</v>
      </c>
      <c r="O230">
        <v>0.2</v>
      </c>
      <c r="P230">
        <v>8.7140000000000004</v>
      </c>
      <c r="Q230" s="1">
        <v>0.125</v>
      </c>
      <c r="R230" t="s">
        <v>4</v>
      </c>
      <c r="S230" t="s">
        <v>408</v>
      </c>
    </row>
    <row r="231" spans="1:19" x14ac:dyDescent="0.3">
      <c r="A231">
        <v>581</v>
      </c>
      <c r="B231" t="s">
        <v>850</v>
      </c>
      <c r="C231">
        <v>2015</v>
      </c>
      <c r="D231" t="s">
        <v>428</v>
      </c>
      <c r="E231" t="s">
        <v>6</v>
      </c>
      <c r="F231" t="s">
        <v>14</v>
      </c>
      <c r="G231" t="s">
        <v>15</v>
      </c>
      <c r="H231" t="s">
        <v>16</v>
      </c>
      <c r="I231" t="s">
        <v>851</v>
      </c>
      <c r="J231" t="s">
        <v>17</v>
      </c>
      <c r="K231" t="s">
        <v>101</v>
      </c>
      <c r="L231" t="s">
        <v>19</v>
      </c>
      <c r="M231">
        <v>51.52</v>
      </c>
      <c r="N231">
        <v>4</v>
      </c>
      <c r="O231">
        <v>0</v>
      </c>
      <c r="P231">
        <v>1.5456000000000001</v>
      </c>
      <c r="Q231" s="1">
        <v>0.03</v>
      </c>
      <c r="R231" t="s">
        <v>4</v>
      </c>
      <c r="S231" t="s">
        <v>394</v>
      </c>
    </row>
    <row r="232" spans="1:19" x14ac:dyDescent="0.3">
      <c r="A232">
        <v>587</v>
      </c>
      <c r="B232" t="s">
        <v>852</v>
      </c>
      <c r="C232">
        <v>2015</v>
      </c>
      <c r="D232" t="s">
        <v>425</v>
      </c>
      <c r="E232" t="s">
        <v>6</v>
      </c>
      <c r="F232" t="s">
        <v>172</v>
      </c>
      <c r="G232" t="s">
        <v>8</v>
      </c>
      <c r="H232" t="s">
        <v>9</v>
      </c>
      <c r="I232" t="s">
        <v>853</v>
      </c>
      <c r="J232" t="s">
        <v>10</v>
      </c>
      <c r="K232" t="s">
        <v>12</v>
      </c>
      <c r="L232" t="s">
        <v>19</v>
      </c>
      <c r="M232">
        <v>70.98</v>
      </c>
      <c r="N232">
        <v>1</v>
      </c>
      <c r="O232">
        <v>0</v>
      </c>
      <c r="P232">
        <v>4.9686000000000003</v>
      </c>
      <c r="Q232" s="1">
        <v>7.0000000000000007E-2</v>
      </c>
      <c r="R232" t="s">
        <v>4</v>
      </c>
      <c r="S232" t="s">
        <v>394</v>
      </c>
    </row>
    <row r="233" spans="1:19" x14ac:dyDescent="0.3">
      <c r="A233">
        <v>589</v>
      </c>
      <c r="B233" t="s">
        <v>854</v>
      </c>
      <c r="C233">
        <v>2016</v>
      </c>
      <c r="D233" t="s">
        <v>447</v>
      </c>
      <c r="E233" t="s">
        <v>6</v>
      </c>
      <c r="F233" t="s">
        <v>198</v>
      </c>
      <c r="G233" t="s">
        <v>86</v>
      </c>
      <c r="H233" t="s">
        <v>16</v>
      </c>
      <c r="I233" t="s">
        <v>855</v>
      </c>
      <c r="J233" t="s">
        <v>26</v>
      </c>
      <c r="K233" t="s">
        <v>27</v>
      </c>
      <c r="L233" t="s">
        <v>19</v>
      </c>
      <c r="M233">
        <v>84.784000000000006</v>
      </c>
      <c r="N233">
        <v>2</v>
      </c>
      <c r="O233">
        <v>0.2</v>
      </c>
      <c r="P233">
        <v>-20.136199999999999</v>
      </c>
      <c r="Q233" s="1">
        <v>-0.23749999999999999</v>
      </c>
      <c r="R233" t="s">
        <v>401</v>
      </c>
      <c r="S233" t="s">
        <v>408</v>
      </c>
    </row>
    <row r="234" spans="1:19" x14ac:dyDescent="0.3">
      <c r="A234">
        <v>593</v>
      </c>
      <c r="B234" t="s">
        <v>856</v>
      </c>
      <c r="C234">
        <v>2014</v>
      </c>
      <c r="D234" t="s">
        <v>430</v>
      </c>
      <c r="E234" t="s">
        <v>6</v>
      </c>
      <c r="F234" t="s">
        <v>199</v>
      </c>
      <c r="G234" t="s">
        <v>37</v>
      </c>
      <c r="H234" t="s">
        <v>38</v>
      </c>
      <c r="I234" t="s">
        <v>857</v>
      </c>
      <c r="J234" t="s">
        <v>17</v>
      </c>
      <c r="K234" t="s">
        <v>25</v>
      </c>
      <c r="L234" t="s">
        <v>19</v>
      </c>
      <c r="M234">
        <v>9.3439999999999994</v>
      </c>
      <c r="N234">
        <v>2</v>
      </c>
      <c r="O234">
        <v>0.2</v>
      </c>
      <c r="P234">
        <v>1.1679999999999999</v>
      </c>
      <c r="Q234" s="1">
        <v>0.125</v>
      </c>
      <c r="R234" t="s">
        <v>4</v>
      </c>
      <c r="S234" t="s">
        <v>408</v>
      </c>
    </row>
    <row r="235" spans="1:19" x14ac:dyDescent="0.3">
      <c r="A235">
        <v>595</v>
      </c>
      <c r="B235" t="s">
        <v>858</v>
      </c>
      <c r="C235">
        <v>2014</v>
      </c>
      <c r="D235" t="s">
        <v>420</v>
      </c>
      <c r="E235" t="s">
        <v>6</v>
      </c>
      <c r="F235" t="s">
        <v>134</v>
      </c>
      <c r="G235" t="s">
        <v>15</v>
      </c>
      <c r="H235" t="s">
        <v>16</v>
      </c>
      <c r="I235" t="s">
        <v>859</v>
      </c>
      <c r="J235" t="s">
        <v>17</v>
      </c>
      <c r="K235" t="s">
        <v>29</v>
      </c>
      <c r="L235" t="s">
        <v>19</v>
      </c>
      <c r="M235">
        <v>76.12</v>
      </c>
      <c r="N235">
        <v>2</v>
      </c>
      <c r="O235">
        <v>0</v>
      </c>
      <c r="P235">
        <v>22.0748</v>
      </c>
      <c r="Q235" s="1">
        <v>0.28999999999999998</v>
      </c>
      <c r="R235" t="s">
        <v>4</v>
      </c>
      <c r="S235" t="s">
        <v>394</v>
      </c>
    </row>
    <row r="236" spans="1:19" x14ac:dyDescent="0.3">
      <c r="A236">
        <v>603</v>
      </c>
      <c r="B236" t="s">
        <v>860</v>
      </c>
      <c r="C236">
        <v>2014</v>
      </c>
      <c r="D236" t="s">
        <v>447</v>
      </c>
      <c r="E236" t="s">
        <v>6</v>
      </c>
      <c r="F236" t="s">
        <v>131</v>
      </c>
      <c r="G236" t="s">
        <v>21</v>
      </c>
      <c r="H236" t="s">
        <v>9</v>
      </c>
      <c r="I236" t="s">
        <v>861</v>
      </c>
      <c r="J236" t="s">
        <v>17</v>
      </c>
      <c r="K236" t="s">
        <v>23</v>
      </c>
      <c r="L236" t="s">
        <v>19</v>
      </c>
      <c r="M236">
        <v>142.77600000000001</v>
      </c>
      <c r="N236">
        <v>1</v>
      </c>
      <c r="O236">
        <v>0.2</v>
      </c>
      <c r="P236">
        <v>17.847000000000001</v>
      </c>
      <c r="Q236" s="1">
        <v>0.125</v>
      </c>
      <c r="R236" t="s">
        <v>4</v>
      </c>
      <c r="S236" t="s">
        <v>408</v>
      </c>
    </row>
    <row r="237" spans="1:19" x14ac:dyDescent="0.3">
      <c r="A237">
        <v>608</v>
      </c>
      <c r="B237" t="s">
        <v>862</v>
      </c>
      <c r="C237">
        <v>2014</v>
      </c>
      <c r="D237" t="s">
        <v>417</v>
      </c>
      <c r="E237" t="s">
        <v>6</v>
      </c>
      <c r="F237" t="s">
        <v>46</v>
      </c>
      <c r="G237" t="s">
        <v>47</v>
      </c>
      <c r="H237" t="s">
        <v>48</v>
      </c>
      <c r="I237" t="s">
        <v>863</v>
      </c>
      <c r="J237" t="s">
        <v>17</v>
      </c>
      <c r="K237" t="s">
        <v>28</v>
      </c>
      <c r="L237" t="s">
        <v>19</v>
      </c>
      <c r="M237">
        <v>3.282</v>
      </c>
      <c r="N237">
        <v>2</v>
      </c>
      <c r="O237">
        <v>0.7</v>
      </c>
      <c r="P237">
        <v>-2.6255999999999999</v>
      </c>
      <c r="Q237" s="1">
        <v>-0.8</v>
      </c>
      <c r="R237" t="s">
        <v>401</v>
      </c>
      <c r="S237" t="s">
        <v>402</v>
      </c>
    </row>
    <row r="238" spans="1:19" x14ac:dyDescent="0.3">
      <c r="A238">
        <v>611</v>
      </c>
      <c r="B238" t="s">
        <v>864</v>
      </c>
      <c r="C238">
        <v>2016</v>
      </c>
      <c r="D238" t="s">
        <v>406</v>
      </c>
      <c r="E238" t="s">
        <v>13</v>
      </c>
      <c r="F238" t="s">
        <v>126</v>
      </c>
      <c r="G238" t="s">
        <v>37</v>
      </c>
      <c r="H238" t="s">
        <v>38</v>
      </c>
      <c r="I238" t="s">
        <v>715</v>
      </c>
      <c r="J238" t="s">
        <v>26</v>
      </c>
      <c r="K238" t="s">
        <v>27</v>
      </c>
      <c r="L238" t="s">
        <v>53</v>
      </c>
      <c r="M238">
        <v>369.57600000000002</v>
      </c>
      <c r="N238">
        <v>3</v>
      </c>
      <c r="O238">
        <v>0.2</v>
      </c>
      <c r="P238">
        <v>41.577300000000001</v>
      </c>
      <c r="Q238" s="1">
        <v>0.1125</v>
      </c>
      <c r="R238" t="s">
        <v>4</v>
      </c>
      <c r="S238" t="s">
        <v>408</v>
      </c>
    </row>
    <row r="239" spans="1:19" x14ac:dyDescent="0.3">
      <c r="A239">
        <v>615</v>
      </c>
      <c r="B239" t="s">
        <v>865</v>
      </c>
      <c r="C239">
        <v>2017</v>
      </c>
      <c r="D239" t="s">
        <v>392</v>
      </c>
      <c r="E239" t="s">
        <v>6</v>
      </c>
      <c r="F239" t="s">
        <v>200</v>
      </c>
      <c r="G239" t="s">
        <v>95</v>
      </c>
      <c r="H239" t="s">
        <v>48</v>
      </c>
      <c r="I239" t="s">
        <v>866</v>
      </c>
      <c r="J239" t="s">
        <v>26</v>
      </c>
      <c r="K239" t="s">
        <v>27</v>
      </c>
      <c r="L239" t="s">
        <v>5</v>
      </c>
      <c r="M239">
        <v>119.94</v>
      </c>
      <c r="N239">
        <v>10</v>
      </c>
      <c r="O239">
        <v>0.4</v>
      </c>
      <c r="P239">
        <v>15.992000000000001</v>
      </c>
      <c r="Q239" s="1">
        <v>0.133333333333333</v>
      </c>
      <c r="R239" t="s">
        <v>4</v>
      </c>
      <c r="S239" t="s">
        <v>402</v>
      </c>
    </row>
    <row r="240" spans="1:19" x14ac:dyDescent="0.3">
      <c r="A240">
        <v>617</v>
      </c>
      <c r="B240" t="s">
        <v>867</v>
      </c>
      <c r="C240">
        <v>2017</v>
      </c>
      <c r="D240" t="s">
        <v>420</v>
      </c>
      <c r="E240" t="s">
        <v>13</v>
      </c>
      <c r="F240" t="s">
        <v>66</v>
      </c>
      <c r="G240" t="s">
        <v>67</v>
      </c>
      <c r="H240" t="s">
        <v>48</v>
      </c>
      <c r="I240" t="s">
        <v>868</v>
      </c>
      <c r="J240" t="s">
        <v>10</v>
      </c>
      <c r="K240" t="s">
        <v>24</v>
      </c>
      <c r="L240" t="s">
        <v>5</v>
      </c>
      <c r="M240">
        <v>40.479999999999997</v>
      </c>
      <c r="N240">
        <v>2</v>
      </c>
      <c r="O240">
        <v>0</v>
      </c>
      <c r="P240">
        <v>15.7872</v>
      </c>
      <c r="Q240" s="1">
        <v>0.39</v>
      </c>
      <c r="R240" t="s">
        <v>4</v>
      </c>
      <c r="S240" t="s">
        <v>394</v>
      </c>
    </row>
    <row r="241" spans="1:19" x14ac:dyDescent="0.3">
      <c r="A241">
        <v>623</v>
      </c>
      <c r="B241" t="s">
        <v>869</v>
      </c>
      <c r="C241">
        <v>2015</v>
      </c>
      <c r="D241" t="s">
        <v>392</v>
      </c>
      <c r="E241" t="s">
        <v>13</v>
      </c>
      <c r="F241" t="s">
        <v>201</v>
      </c>
      <c r="G241" t="s">
        <v>61</v>
      </c>
      <c r="H241" t="s">
        <v>38</v>
      </c>
      <c r="I241" t="s">
        <v>870</v>
      </c>
      <c r="J241" t="s">
        <v>10</v>
      </c>
      <c r="K241" t="s">
        <v>12</v>
      </c>
      <c r="L241" t="s">
        <v>19</v>
      </c>
      <c r="M241">
        <v>301.95999999999998</v>
      </c>
      <c r="N241">
        <v>2</v>
      </c>
      <c r="O241">
        <v>0</v>
      </c>
      <c r="P241">
        <v>87.568399999999997</v>
      </c>
      <c r="Q241" s="1">
        <v>0.28999999999999998</v>
      </c>
      <c r="R241" t="s">
        <v>4</v>
      </c>
      <c r="S241" t="s">
        <v>394</v>
      </c>
    </row>
    <row r="242" spans="1:19" x14ac:dyDescent="0.3">
      <c r="A242">
        <v>628</v>
      </c>
      <c r="B242" t="s">
        <v>871</v>
      </c>
      <c r="C242">
        <v>2017</v>
      </c>
      <c r="D242" t="s">
        <v>417</v>
      </c>
      <c r="E242" t="s">
        <v>6</v>
      </c>
      <c r="F242" t="s">
        <v>33</v>
      </c>
      <c r="G242" t="s">
        <v>34</v>
      </c>
      <c r="H242" t="s">
        <v>16</v>
      </c>
      <c r="I242" t="s">
        <v>872</v>
      </c>
      <c r="J242" t="s">
        <v>17</v>
      </c>
      <c r="K242" t="s">
        <v>29</v>
      </c>
      <c r="L242" t="s">
        <v>19</v>
      </c>
      <c r="M242">
        <v>97.16</v>
      </c>
      <c r="N242">
        <v>2</v>
      </c>
      <c r="O242">
        <v>0</v>
      </c>
      <c r="P242">
        <v>28.176400000000001</v>
      </c>
      <c r="Q242" s="1">
        <v>0.28999999999999998</v>
      </c>
      <c r="R242" t="s">
        <v>4</v>
      </c>
      <c r="S242" t="s">
        <v>394</v>
      </c>
    </row>
    <row r="243" spans="1:19" x14ac:dyDescent="0.3">
      <c r="A243">
        <v>634</v>
      </c>
      <c r="B243" t="s">
        <v>873</v>
      </c>
      <c r="C243">
        <v>2017</v>
      </c>
      <c r="D243" t="s">
        <v>428</v>
      </c>
      <c r="E243" t="s">
        <v>6</v>
      </c>
      <c r="F243" t="s">
        <v>170</v>
      </c>
      <c r="G243" t="s">
        <v>21</v>
      </c>
      <c r="H243" t="s">
        <v>9</v>
      </c>
      <c r="I243" t="s">
        <v>874</v>
      </c>
      <c r="J243" t="s">
        <v>26</v>
      </c>
      <c r="K243" t="s">
        <v>50</v>
      </c>
      <c r="L243" t="s">
        <v>5</v>
      </c>
      <c r="M243">
        <v>17.88</v>
      </c>
      <c r="N243">
        <v>3</v>
      </c>
      <c r="O243">
        <v>0.2</v>
      </c>
      <c r="P243">
        <v>2.4584999999999999</v>
      </c>
      <c r="Q243" s="1">
        <v>0.13750000000000001</v>
      </c>
      <c r="R243" t="s">
        <v>4</v>
      </c>
      <c r="S243" t="s">
        <v>408</v>
      </c>
    </row>
    <row r="244" spans="1:19" x14ac:dyDescent="0.3">
      <c r="A244">
        <v>636</v>
      </c>
      <c r="B244" t="s">
        <v>875</v>
      </c>
      <c r="C244">
        <v>2015</v>
      </c>
      <c r="D244" t="s">
        <v>399</v>
      </c>
      <c r="E244" t="s">
        <v>13</v>
      </c>
      <c r="F244" t="s">
        <v>202</v>
      </c>
      <c r="G244" t="s">
        <v>157</v>
      </c>
      <c r="H244" t="s">
        <v>9</v>
      </c>
      <c r="I244" t="s">
        <v>876</v>
      </c>
      <c r="J244" t="s">
        <v>10</v>
      </c>
      <c r="K244" t="s">
        <v>12</v>
      </c>
      <c r="L244" t="s">
        <v>5</v>
      </c>
      <c r="M244">
        <v>392.94</v>
      </c>
      <c r="N244">
        <v>3</v>
      </c>
      <c r="O244">
        <v>0</v>
      </c>
      <c r="P244">
        <v>43.223399999999998</v>
      </c>
      <c r="Q244" s="1">
        <v>0.11</v>
      </c>
      <c r="R244" t="s">
        <v>4</v>
      </c>
      <c r="S244" t="s">
        <v>394</v>
      </c>
    </row>
    <row r="245" spans="1:19" x14ac:dyDescent="0.3">
      <c r="A245">
        <v>637</v>
      </c>
      <c r="B245" t="s">
        <v>877</v>
      </c>
      <c r="C245">
        <v>2016</v>
      </c>
      <c r="D245" t="s">
        <v>420</v>
      </c>
      <c r="E245" t="s">
        <v>6</v>
      </c>
      <c r="F245" t="s">
        <v>88</v>
      </c>
      <c r="G245" t="s">
        <v>89</v>
      </c>
      <c r="H245" t="s">
        <v>16</v>
      </c>
      <c r="I245" t="s">
        <v>878</v>
      </c>
      <c r="J245" t="s">
        <v>17</v>
      </c>
      <c r="K245" t="s">
        <v>28</v>
      </c>
      <c r="L245" t="s">
        <v>19</v>
      </c>
      <c r="M245">
        <v>18.882000000000001</v>
      </c>
      <c r="N245">
        <v>3</v>
      </c>
      <c r="O245">
        <v>0.7</v>
      </c>
      <c r="P245">
        <v>-13.8468</v>
      </c>
      <c r="Q245" s="1">
        <v>-0.73333333333333295</v>
      </c>
      <c r="R245" t="s">
        <v>401</v>
      </c>
      <c r="S245" t="s">
        <v>402</v>
      </c>
    </row>
    <row r="246" spans="1:19" x14ac:dyDescent="0.3">
      <c r="A246">
        <v>639</v>
      </c>
      <c r="B246" t="s">
        <v>879</v>
      </c>
      <c r="C246">
        <v>2016</v>
      </c>
      <c r="D246" t="s">
        <v>417</v>
      </c>
      <c r="E246" t="s">
        <v>35</v>
      </c>
      <c r="F246" t="s">
        <v>203</v>
      </c>
      <c r="G246" t="s">
        <v>15</v>
      </c>
      <c r="H246" t="s">
        <v>16</v>
      </c>
      <c r="I246" t="s">
        <v>880</v>
      </c>
      <c r="J246" t="s">
        <v>10</v>
      </c>
      <c r="K246" t="s">
        <v>24</v>
      </c>
      <c r="L246" t="s">
        <v>19</v>
      </c>
      <c r="M246">
        <v>1049.2</v>
      </c>
      <c r="N246">
        <v>5</v>
      </c>
      <c r="O246">
        <v>0</v>
      </c>
      <c r="P246">
        <v>272.79199999999997</v>
      </c>
      <c r="Q246" s="1">
        <v>0.26</v>
      </c>
      <c r="R246" t="s">
        <v>4</v>
      </c>
      <c r="S246" t="s">
        <v>394</v>
      </c>
    </row>
    <row r="247" spans="1:19" x14ac:dyDescent="0.3">
      <c r="A247">
        <v>642</v>
      </c>
      <c r="B247" t="s">
        <v>881</v>
      </c>
      <c r="C247">
        <v>2017</v>
      </c>
      <c r="D247" t="s">
        <v>425</v>
      </c>
      <c r="E247" t="s">
        <v>6</v>
      </c>
      <c r="F247" t="s">
        <v>204</v>
      </c>
      <c r="G247" t="s">
        <v>15</v>
      </c>
      <c r="H247" t="s">
        <v>16</v>
      </c>
      <c r="I247" t="s">
        <v>882</v>
      </c>
      <c r="J247" t="s">
        <v>17</v>
      </c>
      <c r="K247" t="s">
        <v>23</v>
      </c>
      <c r="L247" t="s">
        <v>5</v>
      </c>
      <c r="M247">
        <v>330.4</v>
      </c>
      <c r="N247">
        <v>2</v>
      </c>
      <c r="O247">
        <v>0</v>
      </c>
      <c r="P247">
        <v>85.903999999999996</v>
      </c>
      <c r="Q247" s="1">
        <v>0.26</v>
      </c>
      <c r="R247" t="s">
        <v>4</v>
      </c>
      <c r="S247" t="s">
        <v>394</v>
      </c>
    </row>
    <row r="248" spans="1:19" x14ac:dyDescent="0.3">
      <c r="A248">
        <v>645</v>
      </c>
      <c r="B248" t="s">
        <v>883</v>
      </c>
      <c r="C248">
        <v>2017</v>
      </c>
      <c r="D248" t="s">
        <v>425</v>
      </c>
      <c r="E248" t="s">
        <v>35</v>
      </c>
      <c r="F248" t="s">
        <v>205</v>
      </c>
      <c r="G248" t="s">
        <v>123</v>
      </c>
      <c r="H248" t="s">
        <v>48</v>
      </c>
      <c r="I248" t="s">
        <v>884</v>
      </c>
      <c r="J248" t="s">
        <v>17</v>
      </c>
      <c r="K248" t="s">
        <v>32</v>
      </c>
      <c r="L248" t="s">
        <v>19</v>
      </c>
      <c r="M248">
        <v>6.48</v>
      </c>
      <c r="N248">
        <v>1</v>
      </c>
      <c r="O248">
        <v>0</v>
      </c>
      <c r="P248">
        <v>3.1751999999999998</v>
      </c>
      <c r="Q248" s="1">
        <v>0.49</v>
      </c>
      <c r="R248" t="s">
        <v>4</v>
      </c>
      <c r="S248" t="s">
        <v>394</v>
      </c>
    </row>
    <row r="249" spans="1:19" x14ac:dyDescent="0.3">
      <c r="A249">
        <v>646</v>
      </c>
      <c r="B249" t="s">
        <v>885</v>
      </c>
      <c r="C249">
        <v>2017</v>
      </c>
      <c r="D249" t="s">
        <v>410</v>
      </c>
      <c r="E249" t="s">
        <v>35</v>
      </c>
      <c r="F249" t="s">
        <v>94</v>
      </c>
      <c r="G249" t="s">
        <v>65</v>
      </c>
      <c r="H249" t="s">
        <v>38</v>
      </c>
      <c r="I249" t="s">
        <v>886</v>
      </c>
      <c r="J249" t="s">
        <v>17</v>
      </c>
      <c r="K249" t="s">
        <v>29</v>
      </c>
      <c r="L249" t="s">
        <v>19</v>
      </c>
      <c r="M249">
        <v>209.3</v>
      </c>
      <c r="N249">
        <v>2</v>
      </c>
      <c r="O249">
        <v>0</v>
      </c>
      <c r="P249">
        <v>56.511000000000003</v>
      </c>
      <c r="Q249" s="1">
        <v>0.27</v>
      </c>
      <c r="R249" t="s">
        <v>4</v>
      </c>
      <c r="S249" t="s">
        <v>394</v>
      </c>
    </row>
    <row r="250" spans="1:19" x14ac:dyDescent="0.3">
      <c r="A250">
        <v>652</v>
      </c>
      <c r="B250" t="s">
        <v>887</v>
      </c>
      <c r="C250">
        <v>2016</v>
      </c>
      <c r="D250" t="s">
        <v>399</v>
      </c>
      <c r="E250" t="s">
        <v>35</v>
      </c>
      <c r="F250" t="s">
        <v>66</v>
      </c>
      <c r="G250" t="s">
        <v>67</v>
      </c>
      <c r="H250" t="s">
        <v>48</v>
      </c>
      <c r="I250" t="s">
        <v>466</v>
      </c>
      <c r="J250" t="s">
        <v>17</v>
      </c>
      <c r="K250" t="s">
        <v>32</v>
      </c>
      <c r="L250" t="s">
        <v>19</v>
      </c>
      <c r="M250">
        <v>379.4</v>
      </c>
      <c r="N250">
        <v>10</v>
      </c>
      <c r="O250">
        <v>0</v>
      </c>
      <c r="P250">
        <v>178.31800000000001</v>
      </c>
      <c r="Q250" s="1">
        <v>0.47</v>
      </c>
      <c r="R250" t="s">
        <v>4</v>
      </c>
      <c r="S250" t="s">
        <v>394</v>
      </c>
    </row>
    <row r="251" spans="1:19" x14ac:dyDescent="0.3">
      <c r="A251">
        <v>653</v>
      </c>
      <c r="B251" t="s">
        <v>888</v>
      </c>
      <c r="C251">
        <v>2017</v>
      </c>
      <c r="D251" t="s">
        <v>396</v>
      </c>
      <c r="E251" t="s">
        <v>13</v>
      </c>
      <c r="F251" t="s">
        <v>66</v>
      </c>
      <c r="G251" t="s">
        <v>67</v>
      </c>
      <c r="H251" t="s">
        <v>48</v>
      </c>
      <c r="I251" t="s">
        <v>889</v>
      </c>
      <c r="J251" t="s">
        <v>17</v>
      </c>
      <c r="K251" t="s">
        <v>32</v>
      </c>
      <c r="L251" t="s">
        <v>19</v>
      </c>
      <c r="M251">
        <v>97.82</v>
      </c>
      <c r="N251">
        <v>2</v>
      </c>
      <c r="O251">
        <v>0</v>
      </c>
      <c r="P251">
        <v>45.9754</v>
      </c>
      <c r="Q251" s="1">
        <v>0.47</v>
      </c>
      <c r="R251" t="s">
        <v>4</v>
      </c>
      <c r="S251" t="s">
        <v>394</v>
      </c>
    </row>
    <row r="252" spans="1:19" x14ac:dyDescent="0.3">
      <c r="A252">
        <v>655</v>
      </c>
      <c r="B252" t="s">
        <v>890</v>
      </c>
      <c r="C252">
        <v>2016</v>
      </c>
      <c r="D252" t="s">
        <v>420</v>
      </c>
      <c r="E252" t="s">
        <v>6</v>
      </c>
      <c r="F252" t="s">
        <v>94</v>
      </c>
      <c r="G252" t="s">
        <v>95</v>
      </c>
      <c r="H252" t="s">
        <v>48</v>
      </c>
      <c r="I252" t="s">
        <v>891</v>
      </c>
      <c r="J252" t="s">
        <v>17</v>
      </c>
      <c r="K252" t="s">
        <v>29</v>
      </c>
      <c r="L252" t="s">
        <v>19</v>
      </c>
      <c r="M252">
        <v>113.55200000000001</v>
      </c>
      <c r="N252">
        <v>2</v>
      </c>
      <c r="O252">
        <v>0.2</v>
      </c>
      <c r="P252">
        <v>8.5164000000000009</v>
      </c>
      <c r="Q252" s="1">
        <v>7.4999999999999997E-2</v>
      </c>
      <c r="R252" t="s">
        <v>4</v>
      </c>
      <c r="S252" t="s">
        <v>408</v>
      </c>
    </row>
    <row r="253" spans="1:19" x14ac:dyDescent="0.3">
      <c r="A253">
        <v>658</v>
      </c>
      <c r="B253" t="s">
        <v>892</v>
      </c>
      <c r="C253">
        <v>2016</v>
      </c>
      <c r="D253" t="s">
        <v>428</v>
      </c>
      <c r="E253" t="s">
        <v>35</v>
      </c>
      <c r="F253" t="s">
        <v>88</v>
      </c>
      <c r="G253" t="s">
        <v>56</v>
      </c>
      <c r="H253" t="s">
        <v>38</v>
      </c>
      <c r="I253" t="s">
        <v>893</v>
      </c>
      <c r="J253" t="s">
        <v>10</v>
      </c>
      <c r="K253" t="s">
        <v>12</v>
      </c>
      <c r="L253" t="s">
        <v>158</v>
      </c>
      <c r="M253">
        <v>701.37199999999996</v>
      </c>
      <c r="N253">
        <v>2</v>
      </c>
      <c r="O253">
        <v>0.3</v>
      </c>
      <c r="P253">
        <v>-50.097999999999999</v>
      </c>
      <c r="Q253" s="1">
        <v>-7.1428571428571397E-2</v>
      </c>
      <c r="R253" t="s">
        <v>401</v>
      </c>
      <c r="S253" t="s">
        <v>402</v>
      </c>
    </row>
    <row r="254" spans="1:19" x14ac:dyDescent="0.3">
      <c r="A254">
        <v>660</v>
      </c>
      <c r="B254" t="s">
        <v>894</v>
      </c>
      <c r="C254">
        <v>2015</v>
      </c>
      <c r="D254" t="s">
        <v>420</v>
      </c>
      <c r="E254" t="s">
        <v>6</v>
      </c>
      <c r="F254" t="s">
        <v>145</v>
      </c>
      <c r="G254" t="s">
        <v>37</v>
      </c>
      <c r="H254" t="s">
        <v>38</v>
      </c>
      <c r="I254" t="s">
        <v>861</v>
      </c>
      <c r="J254" t="s">
        <v>17</v>
      </c>
      <c r="K254" t="s">
        <v>23</v>
      </c>
      <c r="L254" t="s">
        <v>19</v>
      </c>
      <c r="M254">
        <v>999.43200000000002</v>
      </c>
      <c r="N254">
        <v>7</v>
      </c>
      <c r="O254">
        <v>0.2</v>
      </c>
      <c r="P254">
        <v>124.929</v>
      </c>
      <c r="Q254" s="1">
        <v>0.125</v>
      </c>
      <c r="R254" t="s">
        <v>4</v>
      </c>
      <c r="S254" t="s">
        <v>408</v>
      </c>
    </row>
    <row r="255" spans="1:19" x14ac:dyDescent="0.3">
      <c r="A255">
        <v>664</v>
      </c>
      <c r="B255" t="s">
        <v>895</v>
      </c>
      <c r="C255">
        <v>2016</v>
      </c>
      <c r="D255" t="s">
        <v>447</v>
      </c>
      <c r="E255" t="s">
        <v>13</v>
      </c>
      <c r="F255" t="s">
        <v>66</v>
      </c>
      <c r="G255" t="s">
        <v>67</v>
      </c>
      <c r="H255" t="s">
        <v>48</v>
      </c>
      <c r="I255" t="s">
        <v>896</v>
      </c>
      <c r="J255" t="s">
        <v>17</v>
      </c>
      <c r="K255" t="s">
        <v>23</v>
      </c>
      <c r="L255" t="s">
        <v>19</v>
      </c>
      <c r="M255">
        <v>459.95</v>
      </c>
      <c r="N255">
        <v>5</v>
      </c>
      <c r="O255">
        <v>0</v>
      </c>
      <c r="P255">
        <v>18.398</v>
      </c>
      <c r="Q255" s="1">
        <v>0.04</v>
      </c>
      <c r="R255" t="s">
        <v>4</v>
      </c>
      <c r="S255" t="s">
        <v>394</v>
      </c>
    </row>
    <row r="256" spans="1:19" x14ac:dyDescent="0.3">
      <c r="A256">
        <v>665</v>
      </c>
      <c r="B256" t="s">
        <v>897</v>
      </c>
      <c r="C256">
        <v>2016</v>
      </c>
      <c r="D256" t="s">
        <v>392</v>
      </c>
      <c r="E256" t="s">
        <v>6</v>
      </c>
      <c r="F256" t="s">
        <v>173</v>
      </c>
      <c r="G256" t="s">
        <v>8</v>
      </c>
      <c r="H256" t="s">
        <v>9</v>
      </c>
      <c r="I256" t="s">
        <v>516</v>
      </c>
      <c r="J256" t="s">
        <v>17</v>
      </c>
      <c r="K256" t="s">
        <v>68</v>
      </c>
      <c r="L256" t="s">
        <v>158</v>
      </c>
      <c r="M256">
        <v>10.74</v>
      </c>
      <c r="N256">
        <v>3</v>
      </c>
      <c r="O256">
        <v>0</v>
      </c>
      <c r="P256">
        <v>5.2625999999999999</v>
      </c>
      <c r="Q256" s="1">
        <v>0.49</v>
      </c>
      <c r="R256" t="s">
        <v>4</v>
      </c>
      <c r="S256" t="s">
        <v>394</v>
      </c>
    </row>
    <row r="257" spans="1:19" x14ac:dyDescent="0.3">
      <c r="A257">
        <v>670</v>
      </c>
      <c r="B257" t="s">
        <v>898</v>
      </c>
      <c r="C257">
        <v>2017</v>
      </c>
      <c r="D257" t="s">
        <v>396</v>
      </c>
      <c r="E257" t="s">
        <v>35</v>
      </c>
      <c r="F257" t="s">
        <v>70</v>
      </c>
      <c r="G257" t="s">
        <v>56</v>
      </c>
      <c r="H257" t="s">
        <v>38</v>
      </c>
      <c r="I257" t="s">
        <v>899</v>
      </c>
      <c r="J257" t="s">
        <v>10</v>
      </c>
      <c r="K257" t="s">
        <v>24</v>
      </c>
      <c r="L257" t="s">
        <v>19</v>
      </c>
      <c r="M257">
        <v>23.975999999999999</v>
      </c>
      <c r="N257">
        <v>3</v>
      </c>
      <c r="O257">
        <v>0.6</v>
      </c>
      <c r="P257">
        <v>-14.3856</v>
      </c>
      <c r="Q257" s="1">
        <v>-0.6</v>
      </c>
      <c r="R257" t="s">
        <v>401</v>
      </c>
      <c r="S257" t="s">
        <v>402</v>
      </c>
    </row>
    <row r="258" spans="1:19" x14ac:dyDescent="0.3">
      <c r="A258">
        <v>674</v>
      </c>
      <c r="B258" t="s">
        <v>900</v>
      </c>
      <c r="C258">
        <v>2017</v>
      </c>
      <c r="D258" t="s">
        <v>410</v>
      </c>
      <c r="E258" t="s">
        <v>6</v>
      </c>
      <c r="F258" t="s">
        <v>94</v>
      </c>
      <c r="G258" t="s">
        <v>65</v>
      </c>
      <c r="H258" t="s">
        <v>38</v>
      </c>
      <c r="I258" t="s">
        <v>901</v>
      </c>
      <c r="J258" t="s">
        <v>17</v>
      </c>
      <c r="K258" t="s">
        <v>29</v>
      </c>
      <c r="L258" t="s">
        <v>53</v>
      </c>
      <c r="M258">
        <v>61.44</v>
      </c>
      <c r="N258">
        <v>3</v>
      </c>
      <c r="O258">
        <v>0</v>
      </c>
      <c r="P258">
        <v>16.588799999999999</v>
      </c>
      <c r="Q258" s="1">
        <v>0.27</v>
      </c>
      <c r="R258" t="s">
        <v>4</v>
      </c>
      <c r="S258" t="s">
        <v>394</v>
      </c>
    </row>
    <row r="259" spans="1:19" x14ac:dyDescent="0.3">
      <c r="A259">
        <v>677</v>
      </c>
      <c r="B259" t="s">
        <v>902</v>
      </c>
      <c r="C259">
        <v>2017</v>
      </c>
      <c r="D259" t="s">
        <v>447</v>
      </c>
      <c r="E259" t="s">
        <v>6</v>
      </c>
      <c r="F259" t="s">
        <v>209</v>
      </c>
      <c r="G259" t="s">
        <v>37</v>
      </c>
      <c r="H259" t="s">
        <v>38</v>
      </c>
      <c r="I259" t="s">
        <v>903</v>
      </c>
      <c r="J259" t="s">
        <v>17</v>
      </c>
      <c r="K259" t="s">
        <v>29</v>
      </c>
      <c r="L259" t="s">
        <v>19</v>
      </c>
      <c r="M259">
        <v>2.6880000000000002</v>
      </c>
      <c r="N259">
        <v>3</v>
      </c>
      <c r="O259">
        <v>0.8</v>
      </c>
      <c r="P259">
        <v>-7.3920000000000003</v>
      </c>
      <c r="Q259" s="1">
        <v>-2.75</v>
      </c>
      <c r="R259" t="s">
        <v>401</v>
      </c>
      <c r="S259" t="s">
        <v>402</v>
      </c>
    </row>
    <row r="260" spans="1:19" x14ac:dyDescent="0.3">
      <c r="A260">
        <v>681</v>
      </c>
      <c r="B260" t="s">
        <v>904</v>
      </c>
      <c r="C260">
        <v>2016</v>
      </c>
      <c r="D260" t="s">
        <v>392</v>
      </c>
      <c r="E260" t="s">
        <v>6</v>
      </c>
      <c r="F260" t="s">
        <v>66</v>
      </c>
      <c r="G260" t="s">
        <v>67</v>
      </c>
      <c r="H260" t="s">
        <v>48</v>
      </c>
      <c r="I260" t="s">
        <v>905</v>
      </c>
      <c r="J260" t="s">
        <v>17</v>
      </c>
      <c r="K260" t="s">
        <v>28</v>
      </c>
      <c r="L260" t="s">
        <v>19</v>
      </c>
      <c r="M260">
        <v>14.352</v>
      </c>
      <c r="N260">
        <v>3</v>
      </c>
      <c r="O260">
        <v>0.2</v>
      </c>
      <c r="P260">
        <v>4.6643999999999997</v>
      </c>
      <c r="Q260" s="1">
        <v>0.32500000000000001</v>
      </c>
      <c r="R260" t="s">
        <v>4</v>
      </c>
      <c r="S260" t="s">
        <v>408</v>
      </c>
    </row>
    <row r="261" spans="1:19" x14ac:dyDescent="0.3">
      <c r="A261">
        <v>684</v>
      </c>
      <c r="B261" t="s">
        <v>906</v>
      </c>
      <c r="C261">
        <v>2017</v>
      </c>
      <c r="D261" t="s">
        <v>392</v>
      </c>
      <c r="E261" t="s">
        <v>13</v>
      </c>
      <c r="F261" t="s">
        <v>210</v>
      </c>
      <c r="G261" t="s">
        <v>31</v>
      </c>
      <c r="H261" t="s">
        <v>9</v>
      </c>
      <c r="I261" t="s">
        <v>907</v>
      </c>
      <c r="J261" t="s">
        <v>26</v>
      </c>
      <c r="K261" t="s">
        <v>114</v>
      </c>
      <c r="L261" t="s">
        <v>158</v>
      </c>
      <c r="M261">
        <v>7999.98</v>
      </c>
      <c r="N261">
        <v>4</v>
      </c>
      <c r="O261">
        <v>0.5</v>
      </c>
      <c r="P261">
        <v>-3839.9904000000001</v>
      </c>
      <c r="Q261" s="1">
        <v>-0.48</v>
      </c>
      <c r="R261" t="s">
        <v>401</v>
      </c>
      <c r="S261" t="s">
        <v>402</v>
      </c>
    </row>
    <row r="262" spans="1:19" x14ac:dyDescent="0.3">
      <c r="A262">
        <v>686</v>
      </c>
      <c r="B262" t="s">
        <v>908</v>
      </c>
      <c r="C262">
        <v>2014</v>
      </c>
      <c r="D262" t="s">
        <v>425</v>
      </c>
      <c r="E262" t="s">
        <v>6</v>
      </c>
      <c r="F262" t="s">
        <v>75</v>
      </c>
      <c r="G262" t="s">
        <v>175</v>
      </c>
      <c r="H262" t="s">
        <v>9</v>
      </c>
      <c r="I262" t="s">
        <v>909</v>
      </c>
      <c r="J262" t="s">
        <v>26</v>
      </c>
      <c r="K262" t="s">
        <v>50</v>
      </c>
      <c r="L262" t="s">
        <v>53</v>
      </c>
      <c r="M262">
        <v>479.97</v>
      </c>
      <c r="N262">
        <v>3</v>
      </c>
      <c r="O262">
        <v>0</v>
      </c>
      <c r="P262">
        <v>163.18979999999999</v>
      </c>
      <c r="Q262" s="1">
        <v>0.34</v>
      </c>
      <c r="R262" t="s">
        <v>4</v>
      </c>
      <c r="S262" t="s">
        <v>394</v>
      </c>
    </row>
    <row r="263" spans="1:19" x14ac:dyDescent="0.3">
      <c r="A263">
        <v>690</v>
      </c>
      <c r="B263" t="s">
        <v>910</v>
      </c>
      <c r="C263">
        <v>2014</v>
      </c>
      <c r="D263" t="s">
        <v>396</v>
      </c>
      <c r="E263" t="s">
        <v>6</v>
      </c>
      <c r="F263" t="s">
        <v>211</v>
      </c>
      <c r="G263" t="s">
        <v>74</v>
      </c>
      <c r="H263" t="s">
        <v>9</v>
      </c>
      <c r="I263" t="s">
        <v>911</v>
      </c>
      <c r="J263" t="s">
        <v>10</v>
      </c>
      <c r="K263" t="s">
        <v>24</v>
      </c>
      <c r="L263" t="s">
        <v>5</v>
      </c>
      <c r="M263">
        <v>104.01</v>
      </c>
      <c r="N263">
        <v>1</v>
      </c>
      <c r="O263">
        <v>0</v>
      </c>
      <c r="P263">
        <v>14.561400000000001</v>
      </c>
      <c r="Q263" s="1">
        <v>0.14000000000000001</v>
      </c>
      <c r="R263" t="s">
        <v>4</v>
      </c>
      <c r="S263" t="s">
        <v>394</v>
      </c>
    </row>
    <row r="264" spans="1:19" x14ac:dyDescent="0.3">
      <c r="A264">
        <v>693</v>
      </c>
      <c r="B264" t="s">
        <v>912</v>
      </c>
      <c r="C264">
        <v>2015</v>
      </c>
      <c r="D264" t="s">
        <v>447</v>
      </c>
      <c r="E264" t="s">
        <v>6</v>
      </c>
      <c r="F264" t="s">
        <v>14</v>
      </c>
      <c r="G264" t="s">
        <v>15</v>
      </c>
      <c r="H264" t="s">
        <v>16</v>
      </c>
      <c r="I264" t="s">
        <v>913</v>
      </c>
      <c r="J264" t="s">
        <v>26</v>
      </c>
      <c r="K264" t="s">
        <v>50</v>
      </c>
      <c r="L264" t="s">
        <v>19</v>
      </c>
      <c r="M264">
        <v>166.24</v>
      </c>
      <c r="N264">
        <v>1</v>
      </c>
      <c r="O264">
        <v>0</v>
      </c>
      <c r="P264">
        <v>24.936</v>
      </c>
      <c r="Q264" s="1">
        <v>0.15</v>
      </c>
      <c r="R264" t="s">
        <v>4</v>
      </c>
      <c r="S264" t="s">
        <v>394</v>
      </c>
    </row>
    <row r="265" spans="1:19" x14ac:dyDescent="0.3">
      <c r="A265">
        <v>695</v>
      </c>
      <c r="B265" t="s">
        <v>914</v>
      </c>
      <c r="C265">
        <v>2015</v>
      </c>
      <c r="D265" t="s">
        <v>417</v>
      </c>
      <c r="E265" t="s">
        <v>35</v>
      </c>
      <c r="F265" t="s">
        <v>212</v>
      </c>
      <c r="G265" t="s">
        <v>47</v>
      </c>
      <c r="H265" t="s">
        <v>48</v>
      </c>
      <c r="I265" t="s">
        <v>660</v>
      </c>
      <c r="J265" t="s">
        <v>17</v>
      </c>
      <c r="K265" t="s">
        <v>25</v>
      </c>
      <c r="L265" t="s">
        <v>53</v>
      </c>
      <c r="M265">
        <v>198.27199999999999</v>
      </c>
      <c r="N265">
        <v>8</v>
      </c>
      <c r="O265">
        <v>0.2</v>
      </c>
      <c r="P265">
        <v>17.348800000000001</v>
      </c>
      <c r="Q265" s="1">
        <v>8.7499999999999994E-2</v>
      </c>
      <c r="R265" t="s">
        <v>4</v>
      </c>
      <c r="S265" t="s">
        <v>408</v>
      </c>
    </row>
    <row r="266" spans="1:19" x14ac:dyDescent="0.3">
      <c r="A266">
        <v>702</v>
      </c>
      <c r="B266" t="s">
        <v>915</v>
      </c>
      <c r="C266">
        <v>2017</v>
      </c>
      <c r="D266" t="s">
        <v>428</v>
      </c>
      <c r="E266" t="s">
        <v>13</v>
      </c>
      <c r="F266" t="s">
        <v>208</v>
      </c>
      <c r="G266" t="s">
        <v>95</v>
      </c>
      <c r="H266" t="s">
        <v>48</v>
      </c>
      <c r="I266" t="s">
        <v>594</v>
      </c>
      <c r="J266" t="s">
        <v>10</v>
      </c>
      <c r="K266" t="s">
        <v>24</v>
      </c>
      <c r="L266" t="s">
        <v>19</v>
      </c>
      <c r="M266">
        <v>15.071999999999999</v>
      </c>
      <c r="N266">
        <v>3</v>
      </c>
      <c r="O266">
        <v>0.2</v>
      </c>
      <c r="P266">
        <v>4.1448</v>
      </c>
      <c r="Q266" s="1">
        <v>0.27500000000000002</v>
      </c>
      <c r="R266" t="s">
        <v>4</v>
      </c>
      <c r="S266" t="s">
        <v>408</v>
      </c>
    </row>
    <row r="267" spans="1:19" x14ac:dyDescent="0.3">
      <c r="A267">
        <v>704</v>
      </c>
      <c r="B267" t="s">
        <v>916</v>
      </c>
      <c r="C267">
        <v>2015</v>
      </c>
      <c r="D267" t="s">
        <v>406</v>
      </c>
      <c r="E267" t="s">
        <v>6</v>
      </c>
      <c r="F267" t="s">
        <v>149</v>
      </c>
      <c r="G267" t="s">
        <v>15</v>
      </c>
      <c r="H267" t="s">
        <v>16</v>
      </c>
      <c r="I267" t="s">
        <v>917</v>
      </c>
      <c r="J267" t="s">
        <v>10</v>
      </c>
      <c r="K267" t="s">
        <v>22</v>
      </c>
      <c r="L267" t="s">
        <v>19</v>
      </c>
      <c r="M267">
        <v>369.91199999999998</v>
      </c>
      <c r="N267">
        <v>3</v>
      </c>
      <c r="O267">
        <v>0.2</v>
      </c>
      <c r="P267">
        <v>-13.871700000000001</v>
      </c>
      <c r="Q267" s="1">
        <v>-3.7499999999999999E-2</v>
      </c>
      <c r="R267" t="s">
        <v>401</v>
      </c>
      <c r="S267" t="s">
        <v>408</v>
      </c>
    </row>
    <row r="268" spans="1:19" x14ac:dyDescent="0.3">
      <c r="A268">
        <v>708</v>
      </c>
      <c r="B268" t="s">
        <v>918</v>
      </c>
      <c r="C268">
        <v>2014</v>
      </c>
      <c r="D268" t="s">
        <v>410</v>
      </c>
      <c r="E268" t="s">
        <v>6</v>
      </c>
      <c r="F268" t="s">
        <v>66</v>
      </c>
      <c r="G268" t="s">
        <v>67</v>
      </c>
      <c r="H268" t="s">
        <v>48</v>
      </c>
      <c r="I268" t="s">
        <v>636</v>
      </c>
      <c r="J268" t="s">
        <v>26</v>
      </c>
      <c r="K268" t="s">
        <v>50</v>
      </c>
      <c r="L268" t="s">
        <v>53</v>
      </c>
      <c r="M268">
        <v>119.96</v>
      </c>
      <c r="N268">
        <v>4</v>
      </c>
      <c r="O268">
        <v>0</v>
      </c>
      <c r="P268">
        <v>52.782400000000003</v>
      </c>
      <c r="Q268" s="1">
        <v>0.44</v>
      </c>
      <c r="R268" t="s">
        <v>4</v>
      </c>
      <c r="S268" t="s">
        <v>394</v>
      </c>
    </row>
    <row r="269" spans="1:19" x14ac:dyDescent="0.3">
      <c r="A269">
        <v>711</v>
      </c>
      <c r="B269" t="s">
        <v>919</v>
      </c>
      <c r="C269">
        <v>2014</v>
      </c>
      <c r="D269" t="s">
        <v>406</v>
      </c>
      <c r="E269" t="s">
        <v>35</v>
      </c>
      <c r="F269" t="s">
        <v>66</v>
      </c>
      <c r="G269" t="s">
        <v>67</v>
      </c>
      <c r="H269" t="s">
        <v>48</v>
      </c>
      <c r="I269" t="s">
        <v>920</v>
      </c>
      <c r="J269" t="s">
        <v>17</v>
      </c>
      <c r="K269" t="s">
        <v>32</v>
      </c>
      <c r="L269" t="s">
        <v>53</v>
      </c>
      <c r="M269">
        <v>55.48</v>
      </c>
      <c r="N269">
        <v>1</v>
      </c>
      <c r="O269">
        <v>0</v>
      </c>
      <c r="P269">
        <v>26.630400000000002</v>
      </c>
      <c r="Q269" s="1">
        <v>0.48</v>
      </c>
      <c r="R269" t="s">
        <v>4</v>
      </c>
      <c r="S269" t="s">
        <v>394</v>
      </c>
    </row>
    <row r="270" spans="1:19" x14ac:dyDescent="0.3">
      <c r="A270">
        <v>716</v>
      </c>
      <c r="B270" t="s">
        <v>921</v>
      </c>
      <c r="C270">
        <v>2014</v>
      </c>
      <c r="D270" t="s">
        <v>425</v>
      </c>
      <c r="E270" t="s">
        <v>13</v>
      </c>
      <c r="F270" t="s">
        <v>33</v>
      </c>
      <c r="G270" t="s">
        <v>34</v>
      </c>
      <c r="H270" t="s">
        <v>16</v>
      </c>
      <c r="I270" t="s">
        <v>922</v>
      </c>
      <c r="J270" t="s">
        <v>17</v>
      </c>
      <c r="K270" t="s">
        <v>28</v>
      </c>
      <c r="L270" t="s">
        <v>5</v>
      </c>
      <c r="M270">
        <v>19.920000000000002</v>
      </c>
      <c r="N270">
        <v>5</v>
      </c>
      <c r="O270">
        <v>0.2</v>
      </c>
      <c r="P270">
        <v>6.9720000000000004</v>
      </c>
      <c r="Q270" s="1">
        <v>0.35</v>
      </c>
      <c r="R270" t="s">
        <v>4</v>
      </c>
      <c r="S270" t="s">
        <v>408</v>
      </c>
    </row>
    <row r="271" spans="1:19" x14ac:dyDescent="0.3">
      <c r="A271">
        <v>717</v>
      </c>
      <c r="B271" t="s">
        <v>923</v>
      </c>
      <c r="C271">
        <v>2014</v>
      </c>
      <c r="D271" t="s">
        <v>430</v>
      </c>
      <c r="E271" t="s">
        <v>6</v>
      </c>
      <c r="F271" t="s">
        <v>62</v>
      </c>
      <c r="G271" t="s">
        <v>63</v>
      </c>
      <c r="H271" t="s">
        <v>48</v>
      </c>
      <c r="I271" t="s">
        <v>924</v>
      </c>
      <c r="J271" t="s">
        <v>10</v>
      </c>
      <c r="K271" t="s">
        <v>24</v>
      </c>
      <c r="L271" t="s">
        <v>53</v>
      </c>
      <c r="M271">
        <v>9.94</v>
      </c>
      <c r="N271">
        <v>2</v>
      </c>
      <c r="O271">
        <v>0</v>
      </c>
      <c r="P271">
        <v>3.0813999999999999</v>
      </c>
      <c r="Q271" s="1">
        <v>0.31</v>
      </c>
      <c r="R271" t="s">
        <v>4</v>
      </c>
      <c r="S271" t="s">
        <v>394</v>
      </c>
    </row>
    <row r="272" spans="1:19" x14ac:dyDescent="0.3">
      <c r="A272">
        <v>719</v>
      </c>
      <c r="B272" t="s">
        <v>925</v>
      </c>
      <c r="C272">
        <v>2014</v>
      </c>
      <c r="D272" t="s">
        <v>396</v>
      </c>
      <c r="E272" t="s">
        <v>35</v>
      </c>
      <c r="F272" t="s">
        <v>49</v>
      </c>
      <c r="G272" t="s">
        <v>42</v>
      </c>
      <c r="H272" t="s">
        <v>16</v>
      </c>
      <c r="I272" t="s">
        <v>926</v>
      </c>
      <c r="J272" t="s">
        <v>17</v>
      </c>
      <c r="K272" t="s">
        <v>28</v>
      </c>
      <c r="L272" t="s">
        <v>19</v>
      </c>
      <c r="M272">
        <v>59.808</v>
      </c>
      <c r="N272">
        <v>3</v>
      </c>
      <c r="O272">
        <v>0.2</v>
      </c>
      <c r="P272">
        <v>19.4376</v>
      </c>
      <c r="Q272" s="1">
        <v>0.32500000000000001</v>
      </c>
      <c r="R272" t="s">
        <v>4</v>
      </c>
      <c r="S272" t="s">
        <v>408</v>
      </c>
    </row>
    <row r="273" spans="1:19" x14ac:dyDescent="0.3">
      <c r="A273">
        <v>721</v>
      </c>
      <c r="B273" t="s">
        <v>927</v>
      </c>
      <c r="C273">
        <v>2016</v>
      </c>
      <c r="D273" t="s">
        <v>529</v>
      </c>
      <c r="E273" t="s">
        <v>35</v>
      </c>
      <c r="F273" t="s">
        <v>14</v>
      </c>
      <c r="G273" t="s">
        <v>15</v>
      </c>
      <c r="H273" t="s">
        <v>16</v>
      </c>
      <c r="I273" t="s">
        <v>928</v>
      </c>
      <c r="J273" t="s">
        <v>17</v>
      </c>
      <c r="K273" t="s">
        <v>32</v>
      </c>
      <c r="L273" t="s">
        <v>19</v>
      </c>
      <c r="M273">
        <v>146.82</v>
      </c>
      <c r="N273">
        <v>3</v>
      </c>
      <c r="O273">
        <v>0</v>
      </c>
      <c r="P273">
        <v>73.41</v>
      </c>
      <c r="Q273" s="1">
        <v>0.5</v>
      </c>
      <c r="R273" t="s">
        <v>4</v>
      </c>
      <c r="S273" t="s">
        <v>394</v>
      </c>
    </row>
    <row r="274" spans="1:19" x14ac:dyDescent="0.3">
      <c r="A274">
        <v>722</v>
      </c>
      <c r="B274" t="s">
        <v>929</v>
      </c>
      <c r="C274">
        <v>2016</v>
      </c>
      <c r="D274" t="s">
        <v>410</v>
      </c>
      <c r="E274" t="s">
        <v>13</v>
      </c>
      <c r="F274" t="s">
        <v>130</v>
      </c>
      <c r="G274" t="s">
        <v>61</v>
      </c>
      <c r="H274" t="s">
        <v>38</v>
      </c>
      <c r="I274" t="s">
        <v>930</v>
      </c>
      <c r="J274" t="s">
        <v>10</v>
      </c>
      <c r="K274" t="s">
        <v>22</v>
      </c>
      <c r="L274" t="s">
        <v>19</v>
      </c>
      <c r="M274">
        <v>1652.94</v>
      </c>
      <c r="N274">
        <v>3</v>
      </c>
      <c r="O274">
        <v>0</v>
      </c>
      <c r="P274">
        <v>231.41159999999999</v>
      </c>
      <c r="Q274" s="1">
        <v>0.14000000000000001</v>
      </c>
      <c r="R274" t="s">
        <v>4</v>
      </c>
      <c r="S274" t="s">
        <v>394</v>
      </c>
    </row>
    <row r="275" spans="1:19" x14ac:dyDescent="0.3">
      <c r="A275">
        <v>724</v>
      </c>
      <c r="B275" t="s">
        <v>931</v>
      </c>
      <c r="C275">
        <v>2014</v>
      </c>
      <c r="D275" t="s">
        <v>399</v>
      </c>
      <c r="E275" t="s">
        <v>35</v>
      </c>
      <c r="F275" t="s">
        <v>46</v>
      </c>
      <c r="G275" t="s">
        <v>47</v>
      </c>
      <c r="H275" t="s">
        <v>48</v>
      </c>
      <c r="I275" t="s">
        <v>932</v>
      </c>
      <c r="J275" t="s">
        <v>10</v>
      </c>
      <c r="K275" t="s">
        <v>24</v>
      </c>
      <c r="L275" t="s">
        <v>19</v>
      </c>
      <c r="M275">
        <v>129.91999999999999</v>
      </c>
      <c r="N275">
        <v>5</v>
      </c>
      <c r="O275">
        <v>0.2</v>
      </c>
      <c r="P275">
        <v>21.111999999999998</v>
      </c>
      <c r="Q275" s="1">
        <v>0.16250000000000001</v>
      </c>
      <c r="R275" t="s">
        <v>4</v>
      </c>
      <c r="S275" t="s">
        <v>408</v>
      </c>
    </row>
    <row r="276" spans="1:19" x14ac:dyDescent="0.3">
      <c r="A276">
        <v>725</v>
      </c>
      <c r="B276" t="s">
        <v>933</v>
      </c>
      <c r="C276">
        <v>2016</v>
      </c>
      <c r="D276" t="s">
        <v>425</v>
      </c>
      <c r="E276" t="s">
        <v>13</v>
      </c>
      <c r="F276" t="s">
        <v>214</v>
      </c>
      <c r="G276" t="s">
        <v>21</v>
      </c>
      <c r="H276" t="s">
        <v>9</v>
      </c>
      <c r="I276" t="s">
        <v>934</v>
      </c>
      <c r="J276" t="s">
        <v>17</v>
      </c>
      <c r="K276" t="s">
        <v>101</v>
      </c>
      <c r="L276" t="s">
        <v>19</v>
      </c>
      <c r="M276">
        <v>45.584000000000003</v>
      </c>
      <c r="N276">
        <v>7</v>
      </c>
      <c r="O276">
        <v>0.2</v>
      </c>
      <c r="P276">
        <v>5.1281999999999996</v>
      </c>
      <c r="Q276" s="1">
        <v>0.1125</v>
      </c>
      <c r="R276" t="s">
        <v>4</v>
      </c>
      <c r="S276" t="s">
        <v>408</v>
      </c>
    </row>
    <row r="277" spans="1:19" x14ac:dyDescent="0.3">
      <c r="A277">
        <v>728</v>
      </c>
      <c r="B277" t="s">
        <v>935</v>
      </c>
      <c r="C277">
        <v>2016</v>
      </c>
      <c r="D277" t="s">
        <v>410</v>
      </c>
      <c r="E277" t="s">
        <v>6</v>
      </c>
      <c r="F277" t="s">
        <v>215</v>
      </c>
      <c r="G277" t="s">
        <v>67</v>
      </c>
      <c r="H277" t="s">
        <v>48</v>
      </c>
      <c r="I277" t="s">
        <v>936</v>
      </c>
      <c r="J277" t="s">
        <v>17</v>
      </c>
      <c r="K277" t="s">
        <v>32</v>
      </c>
      <c r="L277" t="s">
        <v>53</v>
      </c>
      <c r="M277">
        <v>182.72</v>
      </c>
      <c r="N277">
        <v>8</v>
      </c>
      <c r="O277">
        <v>0</v>
      </c>
      <c r="P277">
        <v>84.051199999999994</v>
      </c>
      <c r="Q277" s="1">
        <v>0.46</v>
      </c>
      <c r="R277" t="s">
        <v>4</v>
      </c>
      <c r="S277" t="s">
        <v>394</v>
      </c>
    </row>
    <row r="278" spans="1:19" x14ac:dyDescent="0.3">
      <c r="A278">
        <v>733</v>
      </c>
      <c r="B278" t="s">
        <v>937</v>
      </c>
      <c r="C278">
        <v>2017</v>
      </c>
      <c r="D278" t="s">
        <v>430</v>
      </c>
      <c r="E278" t="s">
        <v>35</v>
      </c>
      <c r="F278" t="s">
        <v>33</v>
      </c>
      <c r="G278" t="s">
        <v>34</v>
      </c>
      <c r="H278" t="s">
        <v>16</v>
      </c>
      <c r="I278" t="s">
        <v>938</v>
      </c>
      <c r="J278" t="s">
        <v>17</v>
      </c>
      <c r="K278" t="s">
        <v>23</v>
      </c>
      <c r="L278" t="s">
        <v>19</v>
      </c>
      <c r="M278">
        <v>242.94</v>
      </c>
      <c r="N278">
        <v>3</v>
      </c>
      <c r="O278">
        <v>0</v>
      </c>
      <c r="P278">
        <v>9.7175999999999991</v>
      </c>
      <c r="Q278" s="1">
        <v>0.04</v>
      </c>
      <c r="R278" t="s">
        <v>4</v>
      </c>
      <c r="S278" t="s">
        <v>394</v>
      </c>
    </row>
    <row r="279" spans="1:19" x14ac:dyDescent="0.3">
      <c r="A279">
        <v>740</v>
      </c>
      <c r="B279" t="s">
        <v>939</v>
      </c>
      <c r="C279">
        <v>2014</v>
      </c>
      <c r="D279" t="s">
        <v>430</v>
      </c>
      <c r="E279" t="s">
        <v>35</v>
      </c>
      <c r="F279" t="s">
        <v>55</v>
      </c>
      <c r="G279" t="s">
        <v>56</v>
      </c>
      <c r="H279" t="s">
        <v>38</v>
      </c>
      <c r="I279" t="s">
        <v>940</v>
      </c>
      <c r="J279" t="s">
        <v>17</v>
      </c>
      <c r="K279" t="s">
        <v>18</v>
      </c>
      <c r="L279" t="s">
        <v>19</v>
      </c>
      <c r="M279">
        <v>11.784000000000001</v>
      </c>
      <c r="N279">
        <v>3</v>
      </c>
      <c r="O279">
        <v>0.2</v>
      </c>
      <c r="P279">
        <v>4.2717000000000001</v>
      </c>
      <c r="Q279" s="1">
        <v>0.36249999999999999</v>
      </c>
      <c r="R279" t="s">
        <v>4</v>
      </c>
      <c r="S279" t="s">
        <v>408</v>
      </c>
    </row>
    <row r="280" spans="1:19" x14ac:dyDescent="0.3">
      <c r="A280">
        <v>743</v>
      </c>
      <c r="B280" t="s">
        <v>941</v>
      </c>
      <c r="C280">
        <v>2016</v>
      </c>
      <c r="D280" t="s">
        <v>420</v>
      </c>
      <c r="E280" t="s">
        <v>6</v>
      </c>
      <c r="F280" t="s">
        <v>126</v>
      </c>
      <c r="G280" t="s">
        <v>37</v>
      </c>
      <c r="H280" t="s">
        <v>38</v>
      </c>
      <c r="I280" t="s">
        <v>851</v>
      </c>
      <c r="J280" t="s">
        <v>17</v>
      </c>
      <c r="K280" t="s">
        <v>101</v>
      </c>
      <c r="L280" t="s">
        <v>19</v>
      </c>
      <c r="M280">
        <v>51.52</v>
      </c>
      <c r="N280">
        <v>5</v>
      </c>
      <c r="O280">
        <v>0.2</v>
      </c>
      <c r="P280">
        <v>-10.948</v>
      </c>
      <c r="Q280" s="1">
        <v>-0.21249999999999999</v>
      </c>
      <c r="R280" t="s">
        <v>401</v>
      </c>
      <c r="S280" t="s">
        <v>408</v>
      </c>
    </row>
    <row r="281" spans="1:19" x14ac:dyDescent="0.3">
      <c r="A281">
        <v>747</v>
      </c>
      <c r="B281" t="s">
        <v>942</v>
      </c>
      <c r="C281">
        <v>2014</v>
      </c>
      <c r="D281" t="s">
        <v>417</v>
      </c>
      <c r="E281" t="s">
        <v>13</v>
      </c>
      <c r="F281" t="s">
        <v>134</v>
      </c>
      <c r="G281" t="s">
        <v>15</v>
      </c>
      <c r="H281" t="s">
        <v>16</v>
      </c>
      <c r="I281" t="s">
        <v>943</v>
      </c>
      <c r="J281" t="s">
        <v>10</v>
      </c>
      <c r="K281" t="s">
        <v>22</v>
      </c>
      <c r="L281" t="s">
        <v>158</v>
      </c>
      <c r="M281">
        <v>567.12</v>
      </c>
      <c r="N281">
        <v>10</v>
      </c>
      <c r="O281">
        <v>0.2</v>
      </c>
      <c r="P281">
        <v>-28.356000000000002</v>
      </c>
      <c r="Q281" s="1">
        <v>-0.05</v>
      </c>
      <c r="R281" t="s">
        <v>401</v>
      </c>
      <c r="S281" t="s">
        <v>408</v>
      </c>
    </row>
    <row r="282" spans="1:19" x14ac:dyDescent="0.3">
      <c r="A282">
        <v>750</v>
      </c>
      <c r="B282" t="s">
        <v>944</v>
      </c>
      <c r="C282">
        <v>2017</v>
      </c>
      <c r="D282" t="s">
        <v>399</v>
      </c>
      <c r="E282" t="s">
        <v>6</v>
      </c>
      <c r="F282" t="s">
        <v>217</v>
      </c>
      <c r="G282" t="s">
        <v>61</v>
      </c>
      <c r="H282" t="s">
        <v>38</v>
      </c>
      <c r="I282" t="s">
        <v>945</v>
      </c>
      <c r="J282" t="s">
        <v>17</v>
      </c>
      <c r="K282" t="s">
        <v>28</v>
      </c>
      <c r="L282" t="s">
        <v>19</v>
      </c>
      <c r="M282">
        <v>58.05</v>
      </c>
      <c r="N282">
        <v>3</v>
      </c>
      <c r="O282">
        <v>0</v>
      </c>
      <c r="P282">
        <v>26.702999999999999</v>
      </c>
      <c r="Q282" s="1">
        <v>0.46</v>
      </c>
      <c r="R282" t="s">
        <v>4</v>
      </c>
      <c r="S282" t="s">
        <v>394</v>
      </c>
    </row>
    <row r="283" spans="1:19" x14ac:dyDescent="0.3">
      <c r="A283">
        <v>754</v>
      </c>
      <c r="B283" t="s">
        <v>946</v>
      </c>
      <c r="C283">
        <v>2016</v>
      </c>
      <c r="D283" t="s">
        <v>406</v>
      </c>
      <c r="E283" t="s">
        <v>13</v>
      </c>
      <c r="F283" t="s">
        <v>43</v>
      </c>
      <c r="G283" t="s">
        <v>15</v>
      </c>
      <c r="H283" t="s">
        <v>16</v>
      </c>
      <c r="I283" t="s">
        <v>947</v>
      </c>
      <c r="J283" t="s">
        <v>26</v>
      </c>
      <c r="K283" t="s">
        <v>152</v>
      </c>
      <c r="L283" t="s">
        <v>53</v>
      </c>
      <c r="M283">
        <v>1199.9760000000001</v>
      </c>
      <c r="N283">
        <v>3</v>
      </c>
      <c r="O283">
        <v>0.2</v>
      </c>
      <c r="P283">
        <v>374.99250000000001</v>
      </c>
      <c r="Q283" s="1">
        <v>0.3125</v>
      </c>
      <c r="R283" t="s">
        <v>4</v>
      </c>
      <c r="S283" t="s">
        <v>408</v>
      </c>
    </row>
    <row r="284" spans="1:19" x14ac:dyDescent="0.3">
      <c r="A284">
        <v>757</v>
      </c>
      <c r="B284" t="s">
        <v>948</v>
      </c>
      <c r="C284">
        <v>2014</v>
      </c>
      <c r="D284" t="s">
        <v>410</v>
      </c>
      <c r="E284" t="s">
        <v>6</v>
      </c>
      <c r="F284" t="s">
        <v>218</v>
      </c>
      <c r="G284" t="s">
        <v>59</v>
      </c>
      <c r="H284" t="s">
        <v>38</v>
      </c>
      <c r="I284" t="s">
        <v>949</v>
      </c>
      <c r="J284" t="s">
        <v>17</v>
      </c>
      <c r="K284" t="s">
        <v>23</v>
      </c>
      <c r="L284" t="s">
        <v>19</v>
      </c>
      <c r="M284">
        <v>24.56</v>
      </c>
      <c r="N284">
        <v>2</v>
      </c>
      <c r="O284">
        <v>0</v>
      </c>
      <c r="P284">
        <v>6.8768000000000002</v>
      </c>
      <c r="Q284" s="1">
        <v>0.28000000000000003</v>
      </c>
      <c r="R284" t="s">
        <v>4</v>
      </c>
      <c r="S284" t="s">
        <v>394</v>
      </c>
    </row>
    <row r="285" spans="1:19" x14ac:dyDescent="0.3">
      <c r="A285">
        <v>759</v>
      </c>
      <c r="B285" t="s">
        <v>950</v>
      </c>
      <c r="C285">
        <v>2017</v>
      </c>
      <c r="D285" t="s">
        <v>425</v>
      </c>
      <c r="E285" t="s">
        <v>13</v>
      </c>
      <c r="F285" t="s">
        <v>66</v>
      </c>
      <c r="G285" t="s">
        <v>67</v>
      </c>
      <c r="H285" t="s">
        <v>48</v>
      </c>
      <c r="I285" t="s">
        <v>863</v>
      </c>
      <c r="J285" t="s">
        <v>17</v>
      </c>
      <c r="K285" t="s">
        <v>28</v>
      </c>
      <c r="L285" t="s">
        <v>19</v>
      </c>
      <c r="M285">
        <v>13.128</v>
      </c>
      <c r="N285">
        <v>3</v>
      </c>
      <c r="O285">
        <v>0.2</v>
      </c>
      <c r="P285">
        <v>4.2666000000000004</v>
      </c>
      <c r="Q285" s="1">
        <v>0.32500000000000001</v>
      </c>
      <c r="R285" t="s">
        <v>4</v>
      </c>
      <c r="S285" t="s">
        <v>408</v>
      </c>
    </row>
    <row r="286" spans="1:19" x14ac:dyDescent="0.3">
      <c r="A286">
        <v>761</v>
      </c>
      <c r="B286" t="s">
        <v>951</v>
      </c>
      <c r="C286">
        <v>2015</v>
      </c>
      <c r="D286" t="s">
        <v>420</v>
      </c>
      <c r="E286" t="s">
        <v>6</v>
      </c>
      <c r="F286" t="s">
        <v>14</v>
      </c>
      <c r="G286" t="s">
        <v>15</v>
      </c>
      <c r="H286" t="s">
        <v>16</v>
      </c>
      <c r="I286" t="s">
        <v>952</v>
      </c>
      <c r="J286" t="s">
        <v>17</v>
      </c>
      <c r="K286" t="s">
        <v>32</v>
      </c>
      <c r="L286" t="s">
        <v>19</v>
      </c>
      <c r="M286">
        <v>58.32</v>
      </c>
      <c r="N286">
        <v>9</v>
      </c>
      <c r="O286">
        <v>0</v>
      </c>
      <c r="P286">
        <v>27.993600000000001</v>
      </c>
      <c r="Q286" s="1">
        <v>0.48</v>
      </c>
      <c r="R286" t="s">
        <v>4</v>
      </c>
      <c r="S286" t="s">
        <v>394</v>
      </c>
    </row>
    <row r="287" spans="1:19" x14ac:dyDescent="0.3">
      <c r="A287">
        <v>763</v>
      </c>
      <c r="B287" t="s">
        <v>953</v>
      </c>
      <c r="C287">
        <v>2015</v>
      </c>
      <c r="D287" t="s">
        <v>529</v>
      </c>
      <c r="E287" t="s">
        <v>6</v>
      </c>
      <c r="F287" t="s">
        <v>94</v>
      </c>
      <c r="G287" t="s">
        <v>95</v>
      </c>
      <c r="H287" t="s">
        <v>48</v>
      </c>
      <c r="I287" t="s">
        <v>954</v>
      </c>
      <c r="J287" t="s">
        <v>26</v>
      </c>
      <c r="K287" t="s">
        <v>27</v>
      </c>
      <c r="L287" t="s">
        <v>19</v>
      </c>
      <c r="M287">
        <v>107.982</v>
      </c>
      <c r="N287">
        <v>3</v>
      </c>
      <c r="O287">
        <v>0.4</v>
      </c>
      <c r="P287">
        <v>-26.9955</v>
      </c>
      <c r="Q287" s="1">
        <v>-0.25</v>
      </c>
      <c r="R287" t="s">
        <v>401</v>
      </c>
      <c r="S287" t="s">
        <v>402</v>
      </c>
    </row>
    <row r="288" spans="1:19" x14ac:dyDescent="0.3">
      <c r="A288">
        <v>764</v>
      </c>
      <c r="B288" t="s">
        <v>955</v>
      </c>
      <c r="C288">
        <v>2014</v>
      </c>
      <c r="D288" t="s">
        <v>430</v>
      </c>
      <c r="E288" t="s">
        <v>13</v>
      </c>
      <c r="F288" t="s">
        <v>219</v>
      </c>
      <c r="G288" t="s">
        <v>116</v>
      </c>
      <c r="H288" t="s">
        <v>9</v>
      </c>
      <c r="I288" t="s">
        <v>556</v>
      </c>
      <c r="J288" t="s">
        <v>17</v>
      </c>
      <c r="K288" t="s">
        <v>51</v>
      </c>
      <c r="L288" t="s">
        <v>5</v>
      </c>
      <c r="M288">
        <v>11.36</v>
      </c>
      <c r="N288">
        <v>2</v>
      </c>
      <c r="O288">
        <v>0</v>
      </c>
      <c r="P288">
        <v>5.3391999999999999</v>
      </c>
      <c r="Q288" s="1">
        <v>0.47</v>
      </c>
      <c r="R288" t="s">
        <v>4</v>
      </c>
      <c r="S288" t="s">
        <v>394</v>
      </c>
    </row>
    <row r="289" spans="1:19" x14ac:dyDescent="0.3">
      <c r="A289">
        <v>769</v>
      </c>
      <c r="B289" t="s">
        <v>956</v>
      </c>
      <c r="C289">
        <v>2014</v>
      </c>
      <c r="D289" t="s">
        <v>417</v>
      </c>
      <c r="E289" t="s">
        <v>13</v>
      </c>
      <c r="F289" t="s">
        <v>148</v>
      </c>
      <c r="G289" t="s">
        <v>21</v>
      </c>
      <c r="H289" t="s">
        <v>9</v>
      </c>
      <c r="I289" t="s">
        <v>957</v>
      </c>
      <c r="J289" t="s">
        <v>10</v>
      </c>
      <c r="K289" t="s">
        <v>24</v>
      </c>
      <c r="L289" t="s">
        <v>19</v>
      </c>
      <c r="M289">
        <v>310.88</v>
      </c>
      <c r="N289">
        <v>2</v>
      </c>
      <c r="O289">
        <v>0.2</v>
      </c>
      <c r="P289">
        <v>23.315999999999999</v>
      </c>
      <c r="Q289" s="1">
        <v>7.4999999999999997E-2</v>
      </c>
      <c r="R289" t="s">
        <v>4</v>
      </c>
      <c r="S289" t="s">
        <v>408</v>
      </c>
    </row>
    <row r="290" spans="1:19" x14ac:dyDescent="0.3">
      <c r="A290">
        <v>770</v>
      </c>
      <c r="B290" t="s">
        <v>958</v>
      </c>
      <c r="C290">
        <v>2016</v>
      </c>
      <c r="D290" t="s">
        <v>417</v>
      </c>
      <c r="E290" t="s">
        <v>6</v>
      </c>
      <c r="F290" t="s">
        <v>145</v>
      </c>
      <c r="G290" t="s">
        <v>74</v>
      </c>
      <c r="H290" t="s">
        <v>9</v>
      </c>
      <c r="I290" t="s">
        <v>959</v>
      </c>
      <c r="J290" t="s">
        <v>10</v>
      </c>
      <c r="K290" t="s">
        <v>12</v>
      </c>
      <c r="L290" t="s">
        <v>19</v>
      </c>
      <c r="M290">
        <v>641.96</v>
      </c>
      <c r="N290">
        <v>2</v>
      </c>
      <c r="O290">
        <v>0</v>
      </c>
      <c r="P290">
        <v>179.74879999999999</v>
      </c>
      <c r="Q290" s="1">
        <v>0.28000000000000003</v>
      </c>
      <c r="R290" t="s">
        <v>4</v>
      </c>
      <c r="S290" t="s">
        <v>394</v>
      </c>
    </row>
    <row r="291" spans="1:19" x14ac:dyDescent="0.3">
      <c r="A291">
        <v>771</v>
      </c>
      <c r="B291" t="s">
        <v>960</v>
      </c>
      <c r="C291">
        <v>2017</v>
      </c>
      <c r="D291" t="s">
        <v>430</v>
      </c>
      <c r="E291" t="s">
        <v>13</v>
      </c>
      <c r="F291" t="s">
        <v>164</v>
      </c>
      <c r="G291" t="s">
        <v>93</v>
      </c>
      <c r="H291" t="s">
        <v>38</v>
      </c>
      <c r="I291" t="s">
        <v>961</v>
      </c>
      <c r="J291" t="s">
        <v>17</v>
      </c>
      <c r="K291" t="s">
        <v>28</v>
      </c>
      <c r="L291" t="s">
        <v>19</v>
      </c>
      <c r="M291">
        <v>18.28</v>
      </c>
      <c r="N291">
        <v>2</v>
      </c>
      <c r="O291">
        <v>0</v>
      </c>
      <c r="P291">
        <v>9.14</v>
      </c>
      <c r="Q291" s="1">
        <v>0.5</v>
      </c>
      <c r="R291" t="s">
        <v>4</v>
      </c>
      <c r="S291" t="s">
        <v>394</v>
      </c>
    </row>
    <row r="292" spans="1:19" x14ac:dyDescent="0.3">
      <c r="A292">
        <v>777</v>
      </c>
      <c r="B292" t="s">
        <v>962</v>
      </c>
      <c r="C292">
        <v>2014</v>
      </c>
      <c r="D292" t="s">
        <v>396</v>
      </c>
      <c r="E292" t="s">
        <v>6</v>
      </c>
      <c r="F292" t="s">
        <v>138</v>
      </c>
      <c r="G292" t="s">
        <v>95</v>
      </c>
      <c r="H292" t="s">
        <v>48</v>
      </c>
      <c r="I292" t="s">
        <v>963</v>
      </c>
      <c r="J292" t="s">
        <v>17</v>
      </c>
      <c r="K292" t="s">
        <v>25</v>
      </c>
      <c r="L292" t="s">
        <v>19</v>
      </c>
      <c r="M292">
        <v>32.76</v>
      </c>
      <c r="N292">
        <v>7</v>
      </c>
      <c r="O292">
        <v>0.2</v>
      </c>
      <c r="P292">
        <v>3.6855000000000002</v>
      </c>
      <c r="Q292" s="1">
        <v>0.1125</v>
      </c>
      <c r="R292" t="s">
        <v>4</v>
      </c>
      <c r="S292" t="s">
        <v>408</v>
      </c>
    </row>
    <row r="293" spans="1:19" x14ac:dyDescent="0.3">
      <c r="A293">
        <v>778</v>
      </c>
      <c r="B293" t="s">
        <v>964</v>
      </c>
      <c r="C293">
        <v>2015</v>
      </c>
      <c r="D293" t="s">
        <v>420</v>
      </c>
      <c r="E293" t="s">
        <v>35</v>
      </c>
      <c r="F293" t="s">
        <v>43</v>
      </c>
      <c r="G293" t="s">
        <v>15</v>
      </c>
      <c r="H293" t="s">
        <v>16</v>
      </c>
      <c r="I293" t="s">
        <v>965</v>
      </c>
      <c r="J293" t="s">
        <v>10</v>
      </c>
      <c r="K293" t="s">
        <v>12</v>
      </c>
      <c r="L293" t="s">
        <v>53</v>
      </c>
      <c r="M293">
        <v>544.00800000000004</v>
      </c>
      <c r="N293">
        <v>3</v>
      </c>
      <c r="O293">
        <v>0.2</v>
      </c>
      <c r="P293">
        <v>40.800600000000003</v>
      </c>
      <c r="Q293" s="1">
        <v>7.4999999999999997E-2</v>
      </c>
      <c r="R293" t="s">
        <v>4</v>
      </c>
      <c r="S293" t="s">
        <v>408</v>
      </c>
    </row>
    <row r="294" spans="1:19" x14ac:dyDescent="0.3">
      <c r="A294">
        <v>782</v>
      </c>
      <c r="B294" t="s">
        <v>966</v>
      </c>
      <c r="C294">
        <v>2015</v>
      </c>
      <c r="D294" t="s">
        <v>399</v>
      </c>
      <c r="E294" t="s">
        <v>6</v>
      </c>
      <c r="F294" t="s">
        <v>94</v>
      </c>
      <c r="G294" t="s">
        <v>95</v>
      </c>
      <c r="H294" t="s">
        <v>48</v>
      </c>
      <c r="I294" t="s">
        <v>967</v>
      </c>
      <c r="J294" t="s">
        <v>17</v>
      </c>
      <c r="K294" t="s">
        <v>28</v>
      </c>
      <c r="L294" t="s">
        <v>5</v>
      </c>
      <c r="M294">
        <v>32.07</v>
      </c>
      <c r="N294">
        <v>5</v>
      </c>
      <c r="O294">
        <v>0.7</v>
      </c>
      <c r="P294">
        <v>-22.449000000000002</v>
      </c>
      <c r="Q294" s="1">
        <v>-0.7</v>
      </c>
      <c r="R294" t="s">
        <v>401</v>
      </c>
      <c r="S294" t="s">
        <v>402</v>
      </c>
    </row>
    <row r="295" spans="1:19" x14ac:dyDescent="0.3">
      <c r="A295">
        <v>786</v>
      </c>
      <c r="B295" t="s">
        <v>968</v>
      </c>
      <c r="C295">
        <v>2015</v>
      </c>
      <c r="D295" t="s">
        <v>417</v>
      </c>
      <c r="E295" t="s">
        <v>13</v>
      </c>
      <c r="F295" t="s">
        <v>81</v>
      </c>
      <c r="G295" t="s">
        <v>82</v>
      </c>
      <c r="H295" t="s">
        <v>9</v>
      </c>
      <c r="I295" t="s">
        <v>969</v>
      </c>
      <c r="J295" t="s">
        <v>17</v>
      </c>
      <c r="K295" t="s">
        <v>51</v>
      </c>
      <c r="L295" t="s">
        <v>19</v>
      </c>
      <c r="M295">
        <v>186.69</v>
      </c>
      <c r="N295">
        <v>3</v>
      </c>
      <c r="O295">
        <v>0</v>
      </c>
      <c r="P295">
        <v>87.744299999999996</v>
      </c>
      <c r="Q295" s="1">
        <v>0.47</v>
      </c>
      <c r="R295" t="s">
        <v>4</v>
      </c>
      <c r="S295" t="s">
        <v>394</v>
      </c>
    </row>
    <row r="296" spans="1:19" x14ac:dyDescent="0.3">
      <c r="A296">
        <v>787</v>
      </c>
      <c r="B296" t="s">
        <v>970</v>
      </c>
      <c r="C296">
        <v>2017</v>
      </c>
      <c r="D296" t="s">
        <v>447</v>
      </c>
      <c r="E296" t="s">
        <v>6</v>
      </c>
      <c r="F296" t="s">
        <v>220</v>
      </c>
      <c r="G296" t="s">
        <v>15</v>
      </c>
      <c r="H296" t="s">
        <v>16</v>
      </c>
      <c r="I296" t="s">
        <v>971</v>
      </c>
      <c r="J296" t="s">
        <v>17</v>
      </c>
      <c r="K296" t="s">
        <v>28</v>
      </c>
      <c r="L296" t="s">
        <v>5</v>
      </c>
      <c r="M296">
        <v>17.456</v>
      </c>
      <c r="N296">
        <v>2</v>
      </c>
      <c r="O296">
        <v>0.2</v>
      </c>
      <c r="P296">
        <v>5.8914</v>
      </c>
      <c r="Q296" s="1">
        <v>0.33750000000000002</v>
      </c>
      <c r="R296" t="s">
        <v>4</v>
      </c>
      <c r="S296" t="s">
        <v>408</v>
      </c>
    </row>
    <row r="297" spans="1:19" x14ac:dyDescent="0.3">
      <c r="A297">
        <v>788</v>
      </c>
      <c r="B297" t="s">
        <v>972</v>
      </c>
      <c r="C297">
        <v>2015</v>
      </c>
      <c r="D297" t="s">
        <v>410</v>
      </c>
      <c r="E297" t="s">
        <v>6</v>
      </c>
      <c r="F297" t="s">
        <v>220</v>
      </c>
      <c r="G297" t="s">
        <v>15</v>
      </c>
      <c r="H297" t="s">
        <v>16</v>
      </c>
      <c r="I297" t="s">
        <v>973</v>
      </c>
      <c r="J297" t="s">
        <v>10</v>
      </c>
      <c r="K297" t="s">
        <v>12</v>
      </c>
      <c r="L297" t="s">
        <v>19</v>
      </c>
      <c r="M297">
        <v>348.928</v>
      </c>
      <c r="N297">
        <v>2</v>
      </c>
      <c r="O297">
        <v>0.2</v>
      </c>
      <c r="P297">
        <v>34.892800000000001</v>
      </c>
      <c r="Q297" s="1">
        <v>0.1</v>
      </c>
      <c r="R297" t="s">
        <v>4</v>
      </c>
      <c r="S297" t="s">
        <v>408</v>
      </c>
    </row>
    <row r="298" spans="1:19" x14ac:dyDescent="0.3">
      <c r="A298">
        <v>796</v>
      </c>
      <c r="B298" t="s">
        <v>974</v>
      </c>
      <c r="C298">
        <v>2017</v>
      </c>
      <c r="D298" t="s">
        <v>428</v>
      </c>
      <c r="E298" t="s">
        <v>6</v>
      </c>
      <c r="F298" t="s">
        <v>83</v>
      </c>
      <c r="G298" t="s">
        <v>59</v>
      </c>
      <c r="H298" t="s">
        <v>38</v>
      </c>
      <c r="I298" t="s">
        <v>975</v>
      </c>
      <c r="J298" t="s">
        <v>17</v>
      </c>
      <c r="K298" t="s">
        <v>28</v>
      </c>
      <c r="L298" t="s">
        <v>19</v>
      </c>
      <c r="M298">
        <v>20.16</v>
      </c>
      <c r="N298">
        <v>7</v>
      </c>
      <c r="O298">
        <v>0</v>
      </c>
      <c r="P298">
        <v>9.8783999999999992</v>
      </c>
      <c r="Q298" s="1">
        <v>0.49</v>
      </c>
      <c r="R298" t="s">
        <v>4</v>
      </c>
      <c r="S298" t="s">
        <v>394</v>
      </c>
    </row>
    <row r="299" spans="1:19" x14ac:dyDescent="0.3">
      <c r="A299">
        <v>801</v>
      </c>
      <c r="B299" t="s">
        <v>976</v>
      </c>
      <c r="C299">
        <v>2017</v>
      </c>
      <c r="D299" t="s">
        <v>529</v>
      </c>
      <c r="E299" t="s">
        <v>13</v>
      </c>
      <c r="F299" t="s">
        <v>134</v>
      </c>
      <c r="G299" t="s">
        <v>15</v>
      </c>
      <c r="H299" t="s">
        <v>16</v>
      </c>
      <c r="I299" t="s">
        <v>977</v>
      </c>
      <c r="J299" t="s">
        <v>10</v>
      </c>
      <c r="K299" t="s">
        <v>24</v>
      </c>
      <c r="L299" t="s">
        <v>53</v>
      </c>
      <c r="M299">
        <v>22.23</v>
      </c>
      <c r="N299">
        <v>1</v>
      </c>
      <c r="O299">
        <v>0</v>
      </c>
      <c r="P299">
        <v>7.3358999999999996</v>
      </c>
      <c r="Q299" s="1">
        <v>0.33</v>
      </c>
      <c r="R299" t="s">
        <v>4</v>
      </c>
      <c r="S299" t="s">
        <v>394</v>
      </c>
    </row>
    <row r="300" spans="1:19" x14ac:dyDescent="0.3">
      <c r="A300">
        <v>803</v>
      </c>
      <c r="B300" t="s">
        <v>978</v>
      </c>
      <c r="C300">
        <v>2016</v>
      </c>
      <c r="D300" t="s">
        <v>420</v>
      </c>
      <c r="E300" t="s">
        <v>13</v>
      </c>
      <c r="F300" t="s">
        <v>66</v>
      </c>
      <c r="G300" t="s">
        <v>67</v>
      </c>
      <c r="H300" t="s">
        <v>48</v>
      </c>
      <c r="I300" t="s">
        <v>979</v>
      </c>
      <c r="J300" t="s">
        <v>17</v>
      </c>
      <c r="K300" t="s">
        <v>29</v>
      </c>
      <c r="L300" t="s">
        <v>5</v>
      </c>
      <c r="M300">
        <v>355.32</v>
      </c>
      <c r="N300">
        <v>9</v>
      </c>
      <c r="O300">
        <v>0</v>
      </c>
      <c r="P300">
        <v>99.489599999999996</v>
      </c>
      <c r="Q300" s="1">
        <v>0.28000000000000003</v>
      </c>
      <c r="R300" t="s">
        <v>4</v>
      </c>
      <c r="S300" t="s">
        <v>394</v>
      </c>
    </row>
    <row r="301" spans="1:19" x14ac:dyDescent="0.3">
      <c r="A301">
        <v>804</v>
      </c>
      <c r="B301" t="s">
        <v>980</v>
      </c>
      <c r="C301">
        <v>2016</v>
      </c>
      <c r="D301" t="s">
        <v>447</v>
      </c>
      <c r="E301" t="s">
        <v>13</v>
      </c>
      <c r="F301" t="s">
        <v>115</v>
      </c>
      <c r="G301" t="s">
        <v>116</v>
      </c>
      <c r="H301" t="s">
        <v>9</v>
      </c>
      <c r="I301" t="s">
        <v>981</v>
      </c>
      <c r="J301" t="s">
        <v>17</v>
      </c>
      <c r="K301" t="s">
        <v>32</v>
      </c>
      <c r="L301" t="s">
        <v>19</v>
      </c>
      <c r="M301">
        <v>12.96</v>
      </c>
      <c r="N301">
        <v>2</v>
      </c>
      <c r="O301">
        <v>0</v>
      </c>
      <c r="P301">
        <v>6.2207999999999997</v>
      </c>
      <c r="Q301" s="1">
        <v>0.48</v>
      </c>
      <c r="R301" t="s">
        <v>4</v>
      </c>
      <c r="S301" t="s">
        <v>394</v>
      </c>
    </row>
    <row r="302" spans="1:19" x14ac:dyDescent="0.3">
      <c r="A302">
        <v>805</v>
      </c>
      <c r="B302" t="s">
        <v>982</v>
      </c>
      <c r="C302">
        <v>2017</v>
      </c>
      <c r="D302" t="s">
        <v>406</v>
      </c>
      <c r="E302" t="s">
        <v>6</v>
      </c>
      <c r="F302" t="s">
        <v>43</v>
      </c>
      <c r="G302" t="s">
        <v>15</v>
      </c>
      <c r="H302" t="s">
        <v>16</v>
      </c>
      <c r="I302" t="s">
        <v>983</v>
      </c>
      <c r="J302" t="s">
        <v>10</v>
      </c>
      <c r="K302" t="s">
        <v>24</v>
      </c>
      <c r="L302" t="s">
        <v>53</v>
      </c>
      <c r="M302">
        <v>18.28</v>
      </c>
      <c r="N302">
        <v>2</v>
      </c>
      <c r="O302">
        <v>0</v>
      </c>
      <c r="P302">
        <v>6.2152000000000003</v>
      </c>
      <c r="Q302" s="1">
        <v>0.34</v>
      </c>
      <c r="R302" t="s">
        <v>4</v>
      </c>
      <c r="S302" t="s">
        <v>394</v>
      </c>
    </row>
    <row r="303" spans="1:19" x14ac:dyDescent="0.3">
      <c r="A303">
        <v>806</v>
      </c>
      <c r="B303" t="s">
        <v>984</v>
      </c>
      <c r="C303">
        <v>2014</v>
      </c>
      <c r="D303" t="s">
        <v>392</v>
      </c>
      <c r="E303" t="s">
        <v>6</v>
      </c>
      <c r="F303" t="s">
        <v>125</v>
      </c>
      <c r="G303" t="s">
        <v>89</v>
      </c>
      <c r="H303" t="s">
        <v>16</v>
      </c>
      <c r="I303" t="s">
        <v>985</v>
      </c>
      <c r="J303" t="s">
        <v>17</v>
      </c>
      <c r="K303" t="s">
        <v>25</v>
      </c>
      <c r="L303" t="s">
        <v>19</v>
      </c>
      <c r="M303">
        <v>43.176000000000002</v>
      </c>
      <c r="N303">
        <v>3</v>
      </c>
      <c r="O303">
        <v>0.2</v>
      </c>
      <c r="P303">
        <v>4.3175999999999997</v>
      </c>
      <c r="Q303" s="1">
        <v>0.1</v>
      </c>
      <c r="R303" t="s">
        <v>4</v>
      </c>
      <c r="S303" t="s">
        <v>408</v>
      </c>
    </row>
    <row r="304" spans="1:19" x14ac:dyDescent="0.3">
      <c r="A304">
        <v>808</v>
      </c>
      <c r="B304" t="s">
        <v>986</v>
      </c>
      <c r="C304">
        <v>2015</v>
      </c>
      <c r="D304" t="s">
        <v>529</v>
      </c>
      <c r="E304" t="s">
        <v>6</v>
      </c>
      <c r="F304" t="s">
        <v>222</v>
      </c>
      <c r="G304" t="s">
        <v>45</v>
      </c>
      <c r="H304" t="s">
        <v>38</v>
      </c>
      <c r="I304" t="s">
        <v>843</v>
      </c>
      <c r="J304" t="s">
        <v>10</v>
      </c>
      <c r="K304" t="s">
        <v>24</v>
      </c>
      <c r="L304" t="s">
        <v>53</v>
      </c>
      <c r="M304">
        <v>28.4</v>
      </c>
      <c r="N304">
        <v>2</v>
      </c>
      <c r="O304">
        <v>0</v>
      </c>
      <c r="P304">
        <v>11.076000000000001</v>
      </c>
      <c r="Q304" s="1">
        <v>0.39</v>
      </c>
      <c r="R304" t="s">
        <v>4</v>
      </c>
      <c r="S304" t="s">
        <v>394</v>
      </c>
    </row>
    <row r="305" spans="1:19" x14ac:dyDescent="0.3">
      <c r="A305">
        <v>810</v>
      </c>
      <c r="B305" t="s">
        <v>987</v>
      </c>
      <c r="C305">
        <v>2014</v>
      </c>
      <c r="D305" t="s">
        <v>399</v>
      </c>
      <c r="E305" t="s">
        <v>6</v>
      </c>
      <c r="F305" t="s">
        <v>223</v>
      </c>
      <c r="G305" t="s">
        <v>34</v>
      </c>
      <c r="H305" t="s">
        <v>16</v>
      </c>
      <c r="I305" t="s">
        <v>988</v>
      </c>
      <c r="J305" t="s">
        <v>17</v>
      </c>
      <c r="K305" t="s">
        <v>25</v>
      </c>
      <c r="L305" t="s">
        <v>53</v>
      </c>
      <c r="M305">
        <v>11.52</v>
      </c>
      <c r="N305">
        <v>4</v>
      </c>
      <c r="O305">
        <v>0</v>
      </c>
      <c r="P305">
        <v>3.2256</v>
      </c>
      <c r="Q305" s="1">
        <v>0.28000000000000003</v>
      </c>
      <c r="R305" t="s">
        <v>4</v>
      </c>
      <c r="S305" t="s">
        <v>394</v>
      </c>
    </row>
    <row r="306" spans="1:19" x14ac:dyDescent="0.3">
      <c r="A306">
        <v>814</v>
      </c>
      <c r="B306" t="s">
        <v>989</v>
      </c>
      <c r="C306">
        <v>2017</v>
      </c>
      <c r="D306" t="s">
        <v>417</v>
      </c>
      <c r="E306" t="s">
        <v>6</v>
      </c>
      <c r="F306" t="s">
        <v>224</v>
      </c>
      <c r="G306" t="s">
        <v>15</v>
      </c>
      <c r="H306" t="s">
        <v>16</v>
      </c>
      <c r="I306" t="s">
        <v>983</v>
      </c>
      <c r="J306" t="s">
        <v>10</v>
      </c>
      <c r="K306" t="s">
        <v>24</v>
      </c>
      <c r="L306" t="s">
        <v>158</v>
      </c>
      <c r="M306">
        <v>18.28</v>
      </c>
      <c r="N306">
        <v>2</v>
      </c>
      <c r="O306">
        <v>0</v>
      </c>
      <c r="P306">
        <v>6.2152000000000003</v>
      </c>
      <c r="Q306" s="1">
        <v>0.34</v>
      </c>
      <c r="R306" t="s">
        <v>4</v>
      </c>
      <c r="S306" t="s">
        <v>394</v>
      </c>
    </row>
    <row r="307" spans="1:19" x14ac:dyDescent="0.3">
      <c r="A307">
        <v>816</v>
      </c>
      <c r="B307" t="s">
        <v>990</v>
      </c>
      <c r="C307">
        <v>2015</v>
      </c>
      <c r="D307" t="s">
        <v>447</v>
      </c>
      <c r="E307" t="s">
        <v>13</v>
      </c>
      <c r="F307" t="s">
        <v>225</v>
      </c>
      <c r="G307" t="s">
        <v>40</v>
      </c>
      <c r="H307" t="s">
        <v>38</v>
      </c>
      <c r="I307" t="s">
        <v>991</v>
      </c>
      <c r="J307" t="s">
        <v>17</v>
      </c>
      <c r="K307" t="s">
        <v>32</v>
      </c>
      <c r="L307" t="s">
        <v>53</v>
      </c>
      <c r="M307">
        <v>51.84</v>
      </c>
      <c r="N307">
        <v>8</v>
      </c>
      <c r="O307">
        <v>0</v>
      </c>
      <c r="P307">
        <v>24.883199999999999</v>
      </c>
      <c r="Q307" s="1">
        <v>0.48</v>
      </c>
      <c r="R307" t="s">
        <v>4</v>
      </c>
      <c r="S307" t="s">
        <v>394</v>
      </c>
    </row>
    <row r="308" spans="1:19" x14ac:dyDescent="0.3">
      <c r="A308">
        <v>817</v>
      </c>
      <c r="B308" t="s">
        <v>992</v>
      </c>
      <c r="C308">
        <v>2016</v>
      </c>
      <c r="D308" t="s">
        <v>428</v>
      </c>
      <c r="E308" t="s">
        <v>6</v>
      </c>
      <c r="F308" t="s">
        <v>46</v>
      </c>
      <c r="G308" t="s">
        <v>47</v>
      </c>
      <c r="H308" t="s">
        <v>48</v>
      </c>
      <c r="I308" t="s">
        <v>993</v>
      </c>
      <c r="J308" t="s">
        <v>17</v>
      </c>
      <c r="K308" t="s">
        <v>32</v>
      </c>
      <c r="L308" t="s">
        <v>19</v>
      </c>
      <c r="M308">
        <v>5.3440000000000003</v>
      </c>
      <c r="N308">
        <v>1</v>
      </c>
      <c r="O308">
        <v>0.2</v>
      </c>
      <c r="P308">
        <v>1.8704000000000001</v>
      </c>
      <c r="Q308" s="1">
        <v>0.35</v>
      </c>
      <c r="R308" t="s">
        <v>4</v>
      </c>
      <c r="S308" t="s">
        <v>408</v>
      </c>
    </row>
    <row r="309" spans="1:19" x14ac:dyDescent="0.3">
      <c r="A309">
        <v>818</v>
      </c>
      <c r="B309" t="s">
        <v>994</v>
      </c>
      <c r="C309">
        <v>2014</v>
      </c>
      <c r="D309" t="s">
        <v>396</v>
      </c>
      <c r="E309" t="s">
        <v>6</v>
      </c>
      <c r="F309" t="s">
        <v>46</v>
      </c>
      <c r="G309" t="s">
        <v>47</v>
      </c>
      <c r="H309" t="s">
        <v>48</v>
      </c>
      <c r="I309" t="s">
        <v>995</v>
      </c>
      <c r="J309" t="s">
        <v>17</v>
      </c>
      <c r="K309" t="s">
        <v>32</v>
      </c>
      <c r="L309" t="s">
        <v>19</v>
      </c>
      <c r="M309">
        <v>41.472000000000001</v>
      </c>
      <c r="N309">
        <v>8</v>
      </c>
      <c r="O309">
        <v>0.2</v>
      </c>
      <c r="P309">
        <v>14.5152</v>
      </c>
      <c r="Q309" s="1">
        <v>0.35</v>
      </c>
      <c r="R309" t="s">
        <v>4</v>
      </c>
      <c r="S309" t="s">
        <v>408</v>
      </c>
    </row>
    <row r="310" spans="1:19" x14ac:dyDescent="0.3">
      <c r="A310">
        <v>823</v>
      </c>
      <c r="B310" t="s">
        <v>996</v>
      </c>
      <c r="C310">
        <v>2017</v>
      </c>
      <c r="D310" t="s">
        <v>396</v>
      </c>
      <c r="E310" t="s">
        <v>6</v>
      </c>
      <c r="F310" t="s">
        <v>142</v>
      </c>
      <c r="G310" t="s">
        <v>123</v>
      </c>
      <c r="H310" t="s">
        <v>48</v>
      </c>
      <c r="I310" t="s">
        <v>997</v>
      </c>
      <c r="J310" t="s">
        <v>26</v>
      </c>
      <c r="K310" t="s">
        <v>50</v>
      </c>
      <c r="L310" t="s">
        <v>19</v>
      </c>
      <c r="M310">
        <v>239.97</v>
      </c>
      <c r="N310">
        <v>3</v>
      </c>
      <c r="O310">
        <v>0</v>
      </c>
      <c r="P310">
        <v>71.991</v>
      </c>
      <c r="Q310" s="1">
        <v>0.3</v>
      </c>
      <c r="R310" t="s">
        <v>4</v>
      </c>
      <c r="S310" t="s">
        <v>394</v>
      </c>
    </row>
    <row r="311" spans="1:19" x14ac:dyDescent="0.3">
      <c r="A311">
        <v>825</v>
      </c>
      <c r="B311" t="s">
        <v>998</v>
      </c>
      <c r="C311">
        <v>2014</v>
      </c>
      <c r="D311" t="s">
        <v>417</v>
      </c>
      <c r="E311" t="s">
        <v>6</v>
      </c>
      <c r="F311" t="s">
        <v>43</v>
      </c>
      <c r="G311" t="s">
        <v>15</v>
      </c>
      <c r="H311" t="s">
        <v>16</v>
      </c>
      <c r="I311" t="s">
        <v>999</v>
      </c>
      <c r="J311" t="s">
        <v>26</v>
      </c>
      <c r="K311" t="s">
        <v>50</v>
      </c>
      <c r="L311" t="s">
        <v>19</v>
      </c>
      <c r="M311">
        <v>67.8</v>
      </c>
      <c r="N311">
        <v>4</v>
      </c>
      <c r="O311">
        <v>0</v>
      </c>
      <c r="P311">
        <v>4.0679999999999996</v>
      </c>
      <c r="Q311" s="1">
        <v>0.06</v>
      </c>
      <c r="R311" t="s">
        <v>4</v>
      </c>
      <c r="S311" t="s">
        <v>394</v>
      </c>
    </row>
    <row r="312" spans="1:19" x14ac:dyDescent="0.3">
      <c r="A312">
        <v>834</v>
      </c>
      <c r="B312" t="s">
        <v>1000</v>
      </c>
      <c r="C312">
        <v>2016</v>
      </c>
      <c r="D312" t="s">
        <v>425</v>
      </c>
      <c r="E312" t="s">
        <v>13</v>
      </c>
      <c r="F312" t="s">
        <v>131</v>
      </c>
      <c r="G312" t="s">
        <v>21</v>
      </c>
      <c r="H312" t="s">
        <v>9</v>
      </c>
      <c r="I312" t="s">
        <v>1001</v>
      </c>
      <c r="J312" t="s">
        <v>17</v>
      </c>
      <c r="K312" t="s">
        <v>25</v>
      </c>
      <c r="L312" t="s">
        <v>19</v>
      </c>
      <c r="M312">
        <v>35.216000000000001</v>
      </c>
      <c r="N312">
        <v>2</v>
      </c>
      <c r="O312">
        <v>0.2</v>
      </c>
      <c r="P312">
        <v>2.6412</v>
      </c>
      <c r="Q312" s="1">
        <v>7.4999999999999997E-2</v>
      </c>
      <c r="R312" t="s">
        <v>4</v>
      </c>
      <c r="S312" t="s">
        <v>408</v>
      </c>
    </row>
    <row r="313" spans="1:19" x14ac:dyDescent="0.3">
      <c r="A313">
        <v>839</v>
      </c>
      <c r="B313" t="s">
        <v>1002</v>
      </c>
      <c r="C313">
        <v>2016</v>
      </c>
      <c r="D313" t="s">
        <v>447</v>
      </c>
      <c r="E313" t="s">
        <v>13</v>
      </c>
      <c r="F313" t="s">
        <v>36</v>
      </c>
      <c r="G313" t="s">
        <v>37</v>
      </c>
      <c r="H313" t="s">
        <v>38</v>
      </c>
      <c r="I313" t="s">
        <v>1003</v>
      </c>
      <c r="J313" t="s">
        <v>26</v>
      </c>
      <c r="K313" t="s">
        <v>27</v>
      </c>
      <c r="L313" t="s">
        <v>19</v>
      </c>
      <c r="M313">
        <v>21.071999999999999</v>
      </c>
      <c r="N313">
        <v>3</v>
      </c>
      <c r="O313">
        <v>0.2</v>
      </c>
      <c r="P313">
        <v>1.5804</v>
      </c>
      <c r="Q313" s="1">
        <v>7.4999999999999997E-2</v>
      </c>
      <c r="R313" t="s">
        <v>4</v>
      </c>
      <c r="S313" t="s">
        <v>408</v>
      </c>
    </row>
    <row r="314" spans="1:19" x14ac:dyDescent="0.3">
      <c r="A314">
        <v>840</v>
      </c>
      <c r="B314" t="s">
        <v>1004</v>
      </c>
      <c r="C314">
        <v>2015</v>
      </c>
      <c r="D314" t="s">
        <v>392</v>
      </c>
      <c r="E314" t="s">
        <v>13</v>
      </c>
      <c r="F314" t="s">
        <v>66</v>
      </c>
      <c r="G314" t="s">
        <v>67</v>
      </c>
      <c r="H314" t="s">
        <v>48</v>
      </c>
      <c r="I314" t="s">
        <v>1005</v>
      </c>
      <c r="J314" t="s">
        <v>17</v>
      </c>
      <c r="K314" t="s">
        <v>25</v>
      </c>
      <c r="L314" t="s">
        <v>19</v>
      </c>
      <c r="M314">
        <v>60.45</v>
      </c>
      <c r="N314">
        <v>3</v>
      </c>
      <c r="O314">
        <v>0</v>
      </c>
      <c r="P314">
        <v>16.3215</v>
      </c>
      <c r="Q314" s="1">
        <v>0.27</v>
      </c>
      <c r="R314" t="s">
        <v>4</v>
      </c>
      <c r="S314" t="s">
        <v>394</v>
      </c>
    </row>
    <row r="315" spans="1:19" x14ac:dyDescent="0.3">
      <c r="A315">
        <v>847</v>
      </c>
      <c r="B315" t="s">
        <v>1006</v>
      </c>
      <c r="C315">
        <v>2015</v>
      </c>
      <c r="D315" t="s">
        <v>399</v>
      </c>
      <c r="E315" t="s">
        <v>6</v>
      </c>
      <c r="F315" t="s">
        <v>173</v>
      </c>
      <c r="G315" t="s">
        <v>8</v>
      </c>
      <c r="H315" t="s">
        <v>9</v>
      </c>
      <c r="I315" t="s">
        <v>1007</v>
      </c>
      <c r="J315" t="s">
        <v>26</v>
      </c>
      <c r="K315" t="s">
        <v>27</v>
      </c>
      <c r="L315" t="s">
        <v>19</v>
      </c>
      <c r="M315">
        <v>83.72</v>
      </c>
      <c r="N315">
        <v>7</v>
      </c>
      <c r="O315">
        <v>0</v>
      </c>
      <c r="P315">
        <v>23.441600000000001</v>
      </c>
      <c r="Q315" s="1">
        <v>0.28000000000000003</v>
      </c>
      <c r="R315" t="s">
        <v>4</v>
      </c>
      <c r="S315" t="s">
        <v>394</v>
      </c>
    </row>
    <row r="316" spans="1:19" x14ac:dyDescent="0.3">
      <c r="A316">
        <v>849</v>
      </c>
      <c r="B316" t="s">
        <v>1008</v>
      </c>
      <c r="C316">
        <v>2017</v>
      </c>
      <c r="D316" t="s">
        <v>430</v>
      </c>
      <c r="E316" t="s">
        <v>6</v>
      </c>
      <c r="F316" t="s">
        <v>227</v>
      </c>
      <c r="G316" t="s">
        <v>95</v>
      </c>
      <c r="H316" t="s">
        <v>48</v>
      </c>
      <c r="I316" t="s">
        <v>1009</v>
      </c>
      <c r="J316" t="s">
        <v>10</v>
      </c>
      <c r="K316" t="s">
        <v>24</v>
      </c>
      <c r="L316" t="s">
        <v>19</v>
      </c>
      <c r="M316">
        <v>48.896000000000001</v>
      </c>
      <c r="N316">
        <v>4</v>
      </c>
      <c r="O316">
        <v>0.2</v>
      </c>
      <c r="P316">
        <v>8.5568000000000008</v>
      </c>
      <c r="Q316" s="1">
        <v>0.17499999999999999</v>
      </c>
      <c r="R316" t="s">
        <v>4</v>
      </c>
      <c r="S316" t="s">
        <v>408</v>
      </c>
    </row>
    <row r="317" spans="1:19" x14ac:dyDescent="0.3">
      <c r="A317">
        <v>850</v>
      </c>
      <c r="B317" t="s">
        <v>1010</v>
      </c>
      <c r="C317">
        <v>2014</v>
      </c>
      <c r="D317" t="s">
        <v>529</v>
      </c>
      <c r="E317" t="s">
        <v>13</v>
      </c>
      <c r="F317" t="s">
        <v>228</v>
      </c>
      <c r="G317" t="s">
        <v>123</v>
      </c>
      <c r="H317" t="s">
        <v>48</v>
      </c>
      <c r="I317" t="s">
        <v>1011</v>
      </c>
      <c r="J317" t="s">
        <v>26</v>
      </c>
      <c r="K317" t="s">
        <v>50</v>
      </c>
      <c r="L317" t="s">
        <v>19</v>
      </c>
      <c r="M317">
        <v>115.36</v>
      </c>
      <c r="N317">
        <v>7</v>
      </c>
      <c r="O317">
        <v>0</v>
      </c>
      <c r="P317">
        <v>49.604799999999997</v>
      </c>
      <c r="Q317" s="1">
        <v>0.43</v>
      </c>
      <c r="R317" t="s">
        <v>4</v>
      </c>
      <c r="S317" t="s">
        <v>394</v>
      </c>
    </row>
    <row r="318" spans="1:19" x14ac:dyDescent="0.3">
      <c r="A318">
        <v>853</v>
      </c>
      <c r="B318" t="s">
        <v>1012</v>
      </c>
      <c r="C318">
        <v>2016</v>
      </c>
      <c r="D318" t="s">
        <v>417</v>
      </c>
      <c r="E318" t="s">
        <v>6</v>
      </c>
      <c r="F318" t="s">
        <v>75</v>
      </c>
      <c r="G318" t="s">
        <v>175</v>
      </c>
      <c r="H318" t="s">
        <v>9</v>
      </c>
      <c r="I318" t="s">
        <v>660</v>
      </c>
      <c r="J318" t="s">
        <v>17</v>
      </c>
      <c r="K318" t="s">
        <v>25</v>
      </c>
      <c r="L318" t="s">
        <v>19</v>
      </c>
      <c r="M318">
        <v>185.88</v>
      </c>
      <c r="N318">
        <v>6</v>
      </c>
      <c r="O318">
        <v>0</v>
      </c>
      <c r="P318">
        <v>50.187600000000003</v>
      </c>
      <c r="Q318" s="1">
        <v>0.27</v>
      </c>
      <c r="R318" t="s">
        <v>4</v>
      </c>
      <c r="S318" t="s">
        <v>394</v>
      </c>
    </row>
    <row r="319" spans="1:19" x14ac:dyDescent="0.3">
      <c r="A319">
        <v>854</v>
      </c>
      <c r="B319" t="s">
        <v>1013</v>
      </c>
      <c r="C319">
        <v>2016</v>
      </c>
      <c r="D319" t="s">
        <v>529</v>
      </c>
      <c r="E319" t="s">
        <v>6</v>
      </c>
      <c r="F319" t="s">
        <v>66</v>
      </c>
      <c r="G319" t="s">
        <v>67</v>
      </c>
      <c r="H319" t="s">
        <v>48</v>
      </c>
      <c r="I319" t="s">
        <v>977</v>
      </c>
      <c r="J319" t="s">
        <v>10</v>
      </c>
      <c r="K319" t="s">
        <v>24</v>
      </c>
      <c r="L319" t="s">
        <v>19</v>
      </c>
      <c r="M319">
        <v>44.46</v>
      </c>
      <c r="N319">
        <v>2</v>
      </c>
      <c r="O319">
        <v>0</v>
      </c>
      <c r="P319">
        <v>14.671799999999999</v>
      </c>
      <c r="Q319" s="1">
        <v>0.33</v>
      </c>
      <c r="R319" t="s">
        <v>4</v>
      </c>
      <c r="S319" t="s">
        <v>394</v>
      </c>
    </row>
    <row r="320" spans="1:19" x14ac:dyDescent="0.3">
      <c r="A320">
        <v>859</v>
      </c>
      <c r="B320" t="s">
        <v>1014</v>
      </c>
      <c r="C320">
        <v>2017</v>
      </c>
      <c r="D320" t="s">
        <v>406</v>
      </c>
      <c r="E320" t="s">
        <v>35</v>
      </c>
      <c r="F320" t="s">
        <v>229</v>
      </c>
      <c r="G320" t="s">
        <v>123</v>
      </c>
      <c r="H320" t="s">
        <v>48</v>
      </c>
      <c r="I320" t="s">
        <v>618</v>
      </c>
      <c r="J320" t="s">
        <v>17</v>
      </c>
      <c r="K320" t="s">
        <v>32</v>
      </c>
      <c r="L320" t="s">
        <v>19</v>
      </c>
      <c r="M320">
        <v>7.61</v>
      </c>
      <c r="N320">
        <v>1</v>
      </c>
      <c r="O320">
        <v>0</v>
      </c>
      <c r="P320">
        <v>3.5767000000000002</v>
      </c>
      <c r="Q320" s="1">
        <v>0.47</v>
      </c>
      <c r="R320" t="s">
        <v>4</v>
      </c>
      <c r="S320" t="s">
        <v>394</v>
      </c>
    </row>
    <row r="321" spans="1:19" x14ac:dyDescent="0.3">
      <c r="A321">
        <v>863</v>
      </c>
      <c r="B321" t="s">
        <v>1015</v>
      </c>
      <c r="C321">
        <v>2016</v>
      </c>
      <c r="D321" t="s">
        <v>430</v>
      </c>
      <c r="E321" t="s">
        <v>13</v>
      </c>
      <c r="F321" t="s">
        <v>179</v>
      </c>
      <c r="G321" t="s">
        <v>21</v>
      </c>
      <c r="H321" t="s">
        <v>9</v>
      </c>
      <c r="I321" t="s">
        <v>1016</v>
      </c>
      <c r="J321" t="s">
        <v>26</v>
      </c>
      <c r="K321" t="s">
        <v>50</v>
      </c>
      <c r="L321" t="s">
        <v>5</v>
      </c>
      <c r="M321">
        <v>191.47200000000001</v>
      </c>
      <c r="N321">
        <v>6</v>
      </c>
      <c r="O321">
        <v>0.2</v>
      </c>
      <c r="P321">
        <v>40.687800000000003</v>
      </c>
      <c r="Q321" s="1">
        <v>0.21249999999999999</v>
      </c>
      <c r="R321" t="s">
        <v>4</v>
      </c>
      <c r="S321" t="s">
        <v>408</v>
      </c>
    </row>
    <row r="322" spans="1:19" x14ac:dyDescent="0.3">
      <c r="A322">
        <v>866</v>
      </c>
      <c r="B322" t="s">
        <v>1017</v>
      </c>
      <c r="C322">
        <v>2014</v>
      </c>
      <c r="D322" t="s">
        <v>430</v>
      </c>
      <c r="E322" t="s">
        <v>13</v>
      </c>
      <c r="F322" t="s">
        <v>73</v>
      </c>
      <c r="G322" t="s">
        <v>74</v>
      </c>
      <c r="H322" t="s">
        <v>9</v>
      </c>
      <c r="I322" t="s">
        <v>1018</v>
      </c>
      <c r="J322" t="s">
        <v>17</v>
      </c>
      <c r="K322" t="s">
        <v>18</v>
      </c>
      <c r="L322" t="s">
        <v>19</v>
      </c>
      <c r="M322">
        <v>2.89</v>
      </c>
      <c r="N322">
        <v>1</v>
      </c>
      <c r="O322">
        <v>0</v>
      </c>
      <c r="P322">
        <v>1.3583000000000001</v>
      </c>
      <c r="Q322" s="1">
        <v>0.47</v>
      </c>
      <c r="R322" t="s">
        <v>4</v>
      </c>
      <c r="S322" t="s">
        <v>394</v>
      </c>
    </row>
    <row r="323" spans="1:19" x14ac:dyDescent="0.3">
      <c r="A323">
        <v>868</v>
      </c>
      <c r="B323" t="s">
        <v>1019</v>
      </c>
      <c r="C323">
        <v>2016</v>
      </c>
      <c r="D323" t="s">
        <v>428</v>
      </c>
      <c r="E323" t="s">
        <v>13</v>
      </c>
      <c r="F323" t="s">
        <v>46</v>
      </c>
      <c r="G323" t="s">
        <v>47</v>
      </c>
      <c r="H323" t="s">
        <v>48</v>
      </c>
      <c r="I323" t="s">
        <v>1020</v>
      </c>
      <c r="J323" t="s">
        <v>17</v>
      </c>
      <c r="K323" t="s">
        <v>18</v>
      </c>
      <c r="L323" t="s">
        <v>53</v>
      </c>
      <c r="M323">
        <v>15.936</v>
      </c>
      <c r="N323">
        <v>4</v>
      </c>
      <c r="O323">
        <v>0.2</v>
      </c>
      <c r="P323">
        <v>5.1791999999999998</v>
      </c>
      <c r="Q323" s="1">
        <v>0.32500000000000001</v>
      </c>
      <c r="R323" t="s">
        <v>4</v>
      </c>
      <c r="S323" t="s">
        <v>408</v>
      </c>
    </row>
    <row r="324" spans="1:19" x14ac:dyDescent="0.3">
      <c r="A324">
        <v>869</v>
      </c>
      <c r="B324" t="s">
        <v>1021</v>
      </c>
      <c r="C324">
        <v>2014</v>
      </c>
      <c r="D324" t="s">
        <v>406</v>
      </c>
      <c r="E324" t="s">
        <v>13</v>
      </c>
      <c r="F324" t="s">
        <v>220</v>
      </c>
      <c r="G324" t="s">
        <v>47</v>
      </c>
      <c r="H324" t="s">
        <v>48</v>
      </c>
      <c r="I324" t="s">
        <v>1022</v>
      </c>
      <c r="J324" t="s">
        <v>17</v>
      </c>
      <c r="K324" t="s">
        <v>28</v>
      </c>
      <c r="L324" t="s">
        <v>19</v>
      </c>
      <c r="M324">
        <v>44.91</v>
      </c>
      <c r="N324">
        <v>6</v>
      </c>
      <c r="O324">
        <v>0.7</v>
      </c>
      <c r="P324">
        <v>-35.927999999999997</v>
      </c>
      <c r="Q324" s="1">
        <v>-0.8</v>
      </c>
      <c r="R324" t="s">
        <v>401</v>
      </c>
      <c r="S324" t="s">
        <v>402</v>
      </c>
    </row>
    <row r="325" spans="1:19" x14ac:dyDescent="0.3">
      <c r="A325">
        <v>870</v>
      </c>
      <c r="B325" t="s">
        <v>1023</v>
      </c>
      <c r="C325">
        <v>2016</v>
      </c>
      <c r="D325" t="s">
        <v>428</v>
      </c>
      <c r="E325" t="s">
        <v>35</v>
      </c>
      <c r="F325" t="s">
        <v>46</v>
      </c>
      <c r="G325" t="s">
        <v>47</v>
      </c>
      <c r="H325" t="s">
        <v>48</v>
      </c>
      <c r="I325" t="s">
        <v>1024</v>
      </c>
      <c r="J325" t="s">
        <v>17</v>
      </c>
      <c r="K325" t="s">
        <v>28</v>
      </c>
      <c r="L325" t="s">
        <v>53</v>
      </c>
      <c r="M325">
        <v>1141.47</v>
      </c>
      <c r="N325">
        <v>5</v>
      </c>
      <c r="O325">
        <v>0.7</v>
      </c>
      <c r="P325">
        <v>-760.98</v>
      </c>
      <c r="Q325" s="1">
        <v>-0.66666666666666696</v>
      </c>
      <c r="R325" t="s">
        <v>401</v>
      </c>
      <c r="S325" t="s">
        <v>402</v>
      </c>
    </row>
    <row r="326" spans="1:19" x14ac:dyDescent="0.3">
      <c r="A326">
        <v>872</v>
      </c>
      <c r="B326" t="s">
        <v>1025</v>
      </c>
      <c r="C326">
        <v>2015</v>
      </c>
      <c r="D326" t="s">
        <v>399</v>
      </c>
      <c r="E326" t="s">
        <v>6</v>
      </c>
      <c r="F326" t="s">
        <v>30</v>
      </c>
      <c r="G326" t="s">
        <v>230</v>
      </c>
      <c r="H326" t="s">
        <v>48</v>
      </c>
      <c r="I326" t="s">
        <v>1026</v>
      </c>
      <c r="J326" t="s">
        <v>17</v>
      </c>
      <c r="K326" t="s">
        <v>32</v>
      </c>
      <c r="L326" t="s">
        <v>53</v>
      </c>
      <c r="M326">
        <v>34.44</v>
      </c>
      <c r="N326">
        <v>3</v>
      </c>
      <c r="O326">
        <v>0</v>
      </c>
      <c r="P326">
        <v>17.22</v>
      </c>
      <c r="Q326" s="1">
        <v>0.5</v>
      </c>
      <c r="R326" t="s">
        <v>4</v>
      </c>
      <c r="S326" t="s">
        <v>394</v>
      </c>
    </row>
    <row r="327" spans="1:19" x14ac:dyDescent="0.3">
      <c r="A327">
        <v>873</v>
      </c>
      <c r="B327" t="s">
        <v>1027</v>
      </c>
      <c r="C327">
        <v>2014</v>
      </c>
      <c r="D327" t="s">
        <v>410</v>
      </c>
      <c r="E327" t="s">
        <v>6</v>
      </c>
      <c r="F327" t="s">
        <v>66</v>
      </c>
      <c r="G327" t="s">
        <v>67</v>
      </c>
      <c r="H327" t="s">
        <v>48</v>
      </c>
      <c r="I327" t="s">
        <v>1028</v>
      </c>
      <c r="J327" t="s">
        <v>17</v>
      </c>
      <c r="K327" t="s">
        <v>32</v>
      </c>
      <c r="L327" t="s">
        <v>19</v>
      </c>
      <c r="M327">
        <v>11.36</v>
      </c>
      <c r="N327">
        <v>2</v>
      </c>
      <c r="O327">
        <v>0</v>
      </c>
      <c r="P327">
        <v>5.2256</v>
      </c>
      <c r="Q327" s="1">
        <v>0.46</v>
      </c>
      <c r="R327" t="s">
        <v>4</v>
      </c>
      <c r="S327" t="s">
        <v>394</v>
      </c>
    </row>
    <row r="328" spans="1:19" x14ac:dyDescent="0.3">
      <c r="A328">
        <v>875</v>
      </c>
      <c r="B328" t="s">
        <v>1029</v>
      </c>
      <c r="C328">
        <v>2017</v>
      </c>
      <c r="D328" t="s">
        <v>420</v>
      </c>
      <c r="E328" t="s">
        <v>6</v>
      </c>
      <c r="F328" t="s">
        <v>90</v>
      </c>
      <c r="G328" t="s">
        <v>31</v>
      </c>
      <c r="H328" t="s">
        <v>9</v>
      </c>
      <c r="I328" t="s">
        <v>1030</v>
      </c>
      <c r="J328" t="s">
        <v>17</v>
      </c>
      <c r="K328" t="s">
        <v>32</v>
      </c>
      <c r="L328" t="s">
        <v>19</v>
      </c>
      <c r="M328">
        <v>192.16</v>
      </c>
      <c r="N328">
        <v>5</v>
      </c>
      <c r="O328">
        <v>0.2</v>
      </c>
      <c r="P328">
        <v>67.256</v>
      </c>
      <c r="Q328" s="1">
        <v>0.35</v>
      </c>
      <c r="R328" t="s">
        <v>4</v>
      </c>
      <c r="S328" t="s">
        <v>408</v>
      </c>
    </row>
    <row r="329" spans="1:19" x14ac:dyDescent="0.3">
      <c r="A329">
        <v>876</v>
      </c>
      <c r="B329" t="s">
        <v>1031</v>
      </c>
      <c r="C329">
        <v>2016</v>
      </c>
      <c r="D329" t="s">
        <v>430</v>
      </c>
      <c r="E329" t="s">
        <v>35</v>
      </c>
      <c r="F329" t="s">
        <v>30</v>
      </c>
      <c r="G329" t="s">
        <v>230</v>
      </c>
      <c r="H329" t="s">
        <v>48</v>
      </c>
      <c r="I329" t="s">
        <v>1032</v>
      </c>
      <c r="J329" t="s">
        <v>10</v>
      </c>
      <c r="K329" t="s">
        <v>24</v>
      </c>
      <c r="L329" t="s">
        <v>19</v>
      </c>
      <c r="M329">
        <v>322.58999999999997</v>
      </c>
      <c r="N329">
        <v>3</v>
      </c>
      <c r="O329">
        <v>0</v>
      </c>
      <c r="P329">
        <v>64.518000000000001</v>
      </c>
      <c r="Q329" s="1">
        <v>0.2</v>
      </c>
      <c r="R329" t="s">
        <v>4</v>
      </c>
      <c r="S329" t="s">
        <v>394</v>
      </c>
    </row>
    <row r="330" spans="1:19" x14ac:dyDescent="0.3">
      <c r="A330">
        <v>879</v>
      </c>
      <c r="B330" t="s">
        <v>1033</v>
      </c>
      <c r="C330">
        <v>2014</v>
      </c>
      <c r="D330" t="s">
        <v>428</v>
      </c>
      <c r="E330" t="s">
        <v>35</v>
      </c>
      <c r="F330" t="s">
        <v>46</v>
      </c>
      <c r="G330" t="s">
        <v>47</v>
      </c>
      <c r="H330" t="s">
        <v>48</v>
      </c>
      <c r="I330" t="s">
        <v>1034</v>
      </c>
      <c r="J330" t="s">
        <v>17</v>
      </c>
      <c r="K330" t="s">
        <v>28</v>
      </c>
      <c r="L330" t="s">
        <v>19</v>
      </c>
      <c r="M330">
        <v>5.8920000000000003</v>
      </c>
      <c r="N330">
        <v>4</v>
      </c>
      <c r="O330">
        <v>0.7</v>
      </c>
      <c r="P330">
        <v>-4.1243999999999996</v>
      </c>
      <c r="Q330" s="1">
        <v>-0.7</v>
      </c>
      <c r="R330" t="s">
        <v>401</v>
      </c>
      <c r="S330" t="s">
        <v>402</v>
      </c>
    </row>
    <row r="331" spans="1:19" x14ac:dyDescent="0.3">
      <c r="A331">
        <v>880</v>
      </c>
      <c r="B331" t="s">
        <v>1035</v>
      </c>
      <c r="C331">
        <v>2017</v>
      </c>
      <c r="D331" t="s">
        <v>392</v>
      </c>
      <c r="E331" t="s">
        <v>35</v>
      </c>
      <c r="F331" t="s">
        <v>66</v>
      </c>
      <c r="G331" t="s">
        <v>67</v>
      </c>
      <c r="H331" t="s">
        <v>48</v>
      </c>
      <c r="I331" t="s">
        <v>1036</v>
      </c>
      <c r="J331" t="s">
        <v>17</v>
      </c>
      <c r="K331" t="s">
        <v>28</v>
      </c>
      <c r="L331" t="s">
        <v>5</v>
      </c>
      <c r="M331">
        <v>68.471999999999994</v>
      </c>
      <c r="N331">
        <v>3</v>
      </c>
      <c r="O331">
        <v>0.2</v>
      </c>
      <c r="P331">
        <v>23.109300000000001</v>
      </c>
      <c r="Q331" s="1">
        <v>0.33750000000000002</v>
      </c>
      <c r="R331" t="s">
        <v>4</v>
      </c>
      <c r="S331" t="s">
        <v>408</v>
      </c>
    </row>
    <row r="332" spans="1:19" x14ac:dyDescent="0.3">
      <c r="A332">
        <v>882</v>
      </c>
      <c r="B332" t="s">
        <v>1037</v>
      </c>
      <c r="C332">
        <v>2015</v>
      </c>
      <c r="D332" t="s">
        <v>399</v>
      </c>
      <c r="E332" t="s">
        <v>6</v>
      </c>
      <c r="F332" t="s">
        <v>73</v>
      </c>
      <c r="G332" t="s">
        <v>74</v>
      </c>
      <c r="H332" t="s">
        <v>9</v>
      </c>
      <c r="I332" t="s">
        <v>1038</v>
      </c>
      <c r="J332" t="s">
        <v>17</v>
      </c>
      <c r="K332" t="s">
        <v>23</v>
      </c>
      <c r="L332" t="s">
        <v>19</v>
      </c>
      <c r="M332">
        <v>30.84</v>
      </c>
      <c r="N332">
        <v>2</v>
      </c>
      <c r="O332">
        <v>0</v>
      </c>
      <c r="P332">
        <v>8.3268000000000004</v>
      </c>
      <c r="Q332" s="1">
        <v>0.27</v>
      </c>
      <c r="R332" t="s">
        <v>4</v>
      </c>
      <c r="S332" t="s">
        <v>394</v>
      </c>
    </row>
    <row r="333" spans="1:19" x14ac:dyDescent="0.3">
      <c r="A333">
        <v>883</v>
      </c>
      <c r="B333" t="s">
        <v>1039</v>
      </c>
      <c r="C333">
        <v>2017</v>
      </c>
      <c r="D333" t="s">
        <v>410</v>
      </c>
      <c r="E333" t="s">
        <v>6</v>
      </c>
      <c r="F333" t="s">
        <v>43</v>
      </c>
      <c r="G333" t="s">
        <v>15</v>
      </c>
      <c r="H333" t="s">
        <v>16</v>
      </c>
      <c r="I333" t="s">
        <v>1040</v>
      </c>
      <c r="J333" t="s">
        <v>17</v>
      </c>
      <c r="K333" t="s">
        <v>25</v>
      </c>
      <c r="L333" t="s">
        <v>158</v>
      </c>
      <c r="M333">
        <v>13.48</v>
      </c>
      <c r="N333">
        <v>4</v>
      </c>
      <c r="O333">
        <v>0</v>
      </c>
      <c r="P333">
        <v>5.9311999999999996</v>
      </c>
      <c r="Q333" s="1">
        <v>0.44</v>
      </c>
      <c r="R333" t="s">
        <v>4</v>
      </c>
      <c r="S333" t="s">
        <v>394</v>
      </c>
    </row>
    <row r="334" spans="1:19" x14ac:dyDescent="0.3">
      <c r="A334">
        <v>884</v>
      </c>
      <c r="B334" t="s">
        <v>1041</v>
      </c>
      <c r="C334">
        <v>2016</v>
      </c>
      <c r="D334" t="s">
        <v>399</v>
      </c>
      <c r="E334" t="s">
        <v>35</v>
      </c>
      <c r="F334" t="s">
        <v>130</v>
      </c>
      <c r="G334" t="s">
        <v>61</v>
      </c>
      <c r="H334" t="s">
        <v>38</v>
      </c>
      <c r="I334" t="s">
        <v>1042</v>
      </c>
      <c r="J334" t="s">
        <v>10</v>
      </c>
      <c r="K334" t="s">
        <v>24</v>
      </c>
      <c r="L334" t="s">
        <v>53</v>
      </c>
      <c r="M334">
        <v>31.4</v>
      </c>
      <c r="N334">
        <v>5</v>
      </c>
      <c r="O334">
        <v>0</v>
      </c>
      <c r="P334">
        <v>10.048</v>
      </c>
      <c r="Q334" s="1">
        <v>0.32</v>
      </c>
      <c r="R334" t="s">
        <v>4</v>
      </c>
      <c r="S334" t="s">
        <v>394</v>
      </c>
    </row>
    <row r="335" spans="1:19" x14ac:dyDescent="0.3">
      <c r="A335">
        <v>885</v>
      </c>
      <c r="B335" t="s">
        <v>1043</v>
      </c>
      <c r="C335">
        <v>2014</v>
      </c>
      <c r="D335" t="s">
        <v>406</v>
      </c>
      <c r="E335" t="s">
        <v>6</v>
      </c>
      <c r="F335" t="s">
        <v>83</v>
      </c>
      <c r="G335" t="s">
        <v>67</v>
      </c>
      <c r="H335" t="s">
        <v>48</v>
      </c>
      <c r="I335" t="s">
        <v>1044</v>
      </c>
      <c r="J335" t="s">
        <v>10</v>
      </c>
      <c r="K335" t="s">
        <v>24</v>
      </c>
      <c r="L335" t="s">
        <v>19</v>
      </c>
      <c r="M335">
        <v>17.46</v>
      </c>
      <c r="N335">
        <v>2</v>
      </c>
      <c r="O335">
        <v>0</v>
      </c>
      <c r="P335">
        <v>5.9363999999999999</v>
      </c>
      <c r="Q335" s="1">
        <v>0.34</v>
      </c>
      <c r="R335" t="s">
        <v>4</v>
      </c>
      <c r="S335" t="s">
        <v>394</v>
      </c>
    </row>
    <row r="336" spans="1:19" x14ac:dyDescent="0.3">
      <c r="A336">
        <v>886</v>
      </c>
      <c r="B336" t="s">
        <v>1045</v>
      </c>
      <c r="C336">
        <v>2015</v>
      </c>
      <c r="D336" t="s">
        <v>406</v>
      </c>
      <c r="E336" t="s">
        <v>13</v>
      </c>
      <c r="F336" t="s">
        <v>14</v>
      </c>
      <c r="G336" t="s">
        <v>15</v>
      </c>
      <c r="H336" t="s">
        <v>16</v>
      </c>
      <c r="I336" t="s">
        <v>1046</v>
      </c>
      <c r="J336" t="s">
        <v>17</v>
      </c>
      <c r="K336" t="s">
        <v>28</v>
      </c>
      <c r="L336" t="s">
        <v>5</v>
      </c>
      <c r="M336">
        <v>13.944000000000001</v>
      </c>
      <c r="N336">
        <v>3</v>
      </c>
      <c r="O336">
        <v>0.2</v>
      </c>
      <c r="P336">
        <v>4.5317999999999996</v>
      </c>
      <c r="Q336" s="1">
        <v>0.32500000000000001</v>
      </c>
      <c r="R336" t="s">
        <v>4</v>
      </c>
      <c r="S336" t="s">
        <v>408</v>
      </c>
    </row>
    <row r="337" spans="1:19" x14ac:dyDescent="0.3">
      <c r="A337">
        <v>887</v>
      </c>
      <c r="B337" t="s">
        <v>1047</v>
      </c>
      <c r="C337">
        <v>2017</v>
      </c>
      <c r="D337" t="s">
        <v>396</v>
      </c>
      <c r="E337" t="s">
        <v>6</v>
      </c>
      <c r="F337" t="s">
        <v>134</v>
      </c>
      <c r="G337" t="s">
        <v>15</v>
      </c>
      <c r="H337" t="s">
        <v>16</v>
      </c>
      <c r="I337" t="s">
        <v>1048</v>
      </c>
      <c r="J337" t="s">
        <v>17</v>
      </c>
      <c r="K337" t="s">
        <v>23</v>
      </c>
      <c r="L337" t="s">
        <v>19</v>
      </c>
      <c r="M337">
        <v>83.76</v>
      </c>
      <c r="N337">
        <v>12</v>
      </c>
      <c r="O337">
        <v>0</v>
      </c>
      <c r="P337">
        <v>1.6752</v>
      </c>
      <c r="Q337" s="1">
        <v>0.02</v>
      </c>
      <c r="R337" t="s">
        <v>4</v>
      </c>
      <c r="S337" t="s">
        <v>394</v>
      </c>
    </row>
    <row r="338" spans="1:19" x14ac:dyDescent="0.3">
      <c r="A338">
        <v>888</v>
      </c>
      <c r="B338" t="s">
        <v>1049</v>
      </c>
      <c r="C338">
        <v>2017</v>
      </c>
      <c r="D338" t="s">
        <v>399</v>
      </c>
      <c r="E338" t="s">
        <v>35</v>
      </c>
      <c r="F338" t="s">
        <v>81</v>
      </c>
      <c r="G338" t="s">
        <v>231</v>
      </c>
      <c r="H338" t="s">
        <v>48</v>
      </c>
      <c r="I338" t="s">
        <v>1050</v>
      </c>
      <c r="J338" t="s">
        <v>17</v>
      </c>
      <c r="K338" t="s">
        <v>28</v>
      </c>
      <c r="L338" t="s">
        <v>19</v>
      </c>
      <c r="M338">
        <v>37.659999999999997</v>
      </c>
      <c r="N338">
        <v>7</v>
      </c>
      <c r="O338">
        <v>0</v>
      </c>
      <c r="P338">
        <v>18.453399999999998</v>
      </c>
      <c r="Q338" s="1">
        <v>0.49</v>
      </c>
      <c r="R338" t="s">
        <v>4</v>
      </c>
      <c r="S338" t="s">
        <v>394</v>
      </c>
    </row>
    <row r="339" spans="1:19" x14ac:dyDescent="0.3">
      <c r="A339">
        <v>889</v>
      </c>
      <c r="B339" t="s">
        <v>1051</v>
      </c>
      <c r="C339">
        <v>2014</v>
      </c>
      <c r="D339" t="s">
        <v>410</v>
      </c>
      <c r="E339" t="s">
        <v>13</v>
      </c>
      <c r="F339" t="s">
        <v>43</v>
      </c>
      <c r="G339" t="s">
        <v>15</v>
      </c>
      <c r="H339" t="s">
        <v>16</v>
      </c>
      <c r="I339" t="s">
        <v>1052</v>
      </c>
      <c r="J339" t="s">
        <v>17</v>
      </c>
      <c r="K339" t="s">
        <v>32</v>
      </c>
      <c r="L339" t="s">
        <v>19</v>
      </c>
      <c r="M339">
        <v>34.68</v>
      </c>
      <c r="N339">
        <v>6</v>
      </c>
      <c r="O339">
        <v>0</v>
      </c>
      <c r="P339">
        <v>16.993200000000002</v>
      </c>
      <c r="Q339" s="1">
        <v>0.49</v>
      </c>
      <c r="R339" t="s">
        <v>4</v>
      </c>
      <c r="S339" t="s">
        <v>394</v>
      </c>
    </row>
    <row r="340" spans="1:19" x14ac:dyDescent="0.3">
      <c r="A340">
        <v>895</v>
      </c>
      <c r="B340" t="s">
        <v>1053</v>
      </c>
      <c r="C340">
        <v>2016</v>
      </c>
      <c r="D340" t="s">
        <v>392</v>
      </c>
      <c r="E340" t="s">
        <v>13</v>
      </c>
      <c r="F340" t="s">
        <v>43</v>
      </c>
      <c r="G340" t="s">
        <v>15</v>
      </c>
      <c r="H340" t="s">
        <v>16</v>
      </c>
      <c r="I340" t="s">
        <v>1054</v>
      </c>
      <c r="J340" t="s">
        <v>17</v>
      </c>
      <c r="K340" t="s">
        <v>23</v>
      </c>
      <c r="L340" t="s">
        <v>53</v>
      </c>
      <c r="M340">
        <v>155.82</v>
      </c>
      <c r="N340">
        <v>7</v>
      </c>
      <c r="O340">
        <v>0</v>
      </c>
      <c r="P340">
        <v>42.071399999999997</v>
      </c>
      <c r="Q340" s="1">
        <v>0.27</v>
      </c>
      <c r="R340" t="s">
        <v>4</v>
      </c>
      <c r="S340" t="s">
        <v>394</v>
      </c>
    </row>
    <row r="341" spans="1:19" x14ac:dyDescent="0.3">
      <c r="A341">
        <v>897</v>
      </c>
      <c r="B341" t="s">
        <v>1055</v>
      </c>
      <c r="C341">
        <v>2016</v>
      </c>
      <c r="D341" t="s">
        <v>399</v>
      </c>
      <c r="E341" t="s">
        <v>6</v>
      </c>
      <c r="F341" t="s">
        <v>52</v>
      </c>
      <c r="G341" t="s">
        <v>37</v>
      </c>
      <c r="H341" t="s">
        <v>38</v>
      </c>
      <c r="I341" t="s">
        <v>1056</v>
      </c>
      <c r="J341" t="s">
        <v>17</v>
      </c>
      <c r="K341" t="s">
        <v>51</v>
      </c>
      <c r="L341" t="s">
        <v>5</v>
      </c>
      <c r="M341">
        <v>15.648</v>
      </c>
      <c r="N341">
        <v>2</v>
      </c>
      <c r="O341">
        <v>0.2</v>
      </c>
      <c r="P341">
        <v>5.0856000000000003</v>
      </c>
      <c r="Q341" s="1">
        <v>0.32500000000000001</v>
      </c>
      <c r="R341" t="s">
        <v>4</v>
      </c>
      <c r="S341" t="s">
        <v>408</v>
      </c>
    </row>
    <row r="342" spans="1:19" x14ac:dyDescent="0.3">
      <c r="A342">
        <v>898</v>
      </c>
      <c r="B342" t="s">
        <v>1057</v>
      </c>
      <c r="C342">
        <v>2014</v>
      </c>
      <c r="D342" t="s">
        <v>428</v>
      </c>
      <c r="E342" t="s">
        <v>6</v>
      </c>
      <c r="F342" t="s">
        <v>130</v>
      </c>
      <c r="G342" t="s">
        <v>61</v>
      </c>
      <c r="H342" t="s">
        <v>38</v>
      </c>
      <c r="I342" t="s">
        <v>783</v>
      </c>
      <c r="J342" t="s">
        <v>17</v>
      </c>
      <c r="K342" t="s">
        <v>18</v>
      </c>
      <c r="L342" t="s">
        <v>19</v>
      </c>
      <c r="M342">
        <v>103.6</v>
      </c>
      <c r="N342">
        <v>7</v>
      </c>
      <c r="O342">
        <v>0</v>
      </c>
      <c r="P342">
        <v>51.8</v>
      </c>
      <c r="Q342" s="1">
        <v>0.5</v>
      </c>
      <c r="R342" t="s">
        <v>4</v>
      </c>
      <c r="S342" t="s">
        <v>394</v>
      </c>
    </row>
    <row r="343" spans="1:19" x14ac:dyDescent="0.3">
      <c r="A343">
        <v>899</v>
      </c>
      <c r="B343" t="s">
        <v>1058</v>
      </c>
      <c r="C343">
        <v>2017</v>
      </c>
      <c r="D343" t="s">
        <v>399</v>
      </c>
      <c r="E343" t="s">
        <v>13</v>
      </c>
      <c r="F343" t="s">
        <v>180</v>
      </c>
      <c r="G343" t="s">
        <v>67</v>
      </c>
      <c r="H343" t="s">
        <v>48</v>
      </c>
      <c r="I343" t="s">
        <v>1059</v>
      </c>
      <c r="J343" t="s">
        <v>17</v>
      </c>
      <c r="K343" t="s">
        <v>32</v>
      </c>
      <c r="L343" t="s">
        <v>5</v>
      </c>
      <c r="M343">
        <v>46.96</v>
      </c>
      <c r="N343">
        <v>8</v>
      </c>
      <c r="O343">
        <v>0</v>
      </c>
      <c r="P343">
        <v>22.540800000000001</v>
      </c>
      <c r="Q343" s="1">
        <v>0.48</v>
      </c>
      <c r="R343" t="s">
        <v>4</v>
      </c>
      <c r="S343" t="s">
        <v>394</v>
      </c>
    </row>
    <row r="344" spans="1:19" x14ac:dyDescent="0.3">
      <c r="A344">
        <v>900</v>
      </c>
      <c r="B344" t="s">
        <v>1060</v>
      </c>
      <c r="C344">
        <v>2016</v>
      </c>
      <c r="D344" t="s">
        <v>406</v>
      </c>
      <c r="E344" t="s">
        <v>13</v>
      </c>
      <c r="F344" t="s">
        <v>73</v>
      </c>
      <c r="G344" t="s">
        <v>95</v>
      </c>
      <c r="H344" t="s">
        <v>48</v>
      </c>
      <c r="I344" t="s">
        <v>1061</v>
      </c>
      <c r="J344" t="s">
        <v>17</v>
      </c>
      <c r="K344" t="s">
        <v>28</v>
      </c>
      <c r="L344" t="s">
        <v>53</v>
      </c>
      <c r="M344">
        <v>8.9039999999999999</v>
      </c>
      <c r="N344">
        <v>2</v>
      </c>
      <c r="O344">
        <v>0.7</v>
      </c>
      <c r="P344">
        <v>-6.5296000000000003</v>
      </c>
      <c r="Q344" s="1">
        <v>-0.73333333333333395</v>
      </c>
      <c r="R344" t="s">
        <v>401</v>
      </c>
      <c r="S344" t="s">
        <v>402</v>
      </c>
    </row>
    <row r="345" spans="1:19" x14ac:dyDescent="0.3">
      <c r="A345">
        <v>901</v>
      </c>
      <c r="B345" t="s">
        <v>1062</v>
      </c>
      <c r="C345">
        <v>2017</v>
      </c>
      <c r="D345" t="s">
        <v>392</v>
      </c>
      <c r="E345" t="s">
        <v>6</v>
      </c>
      <c r="F345" t="s">
        <v>232</v>
      </c>
      <c r="G345" t="s">
        <v>37</v>
      </c>
      <c r="H345" t="s">
        <v>38</v>
      </c>
      <c r="I345" t="s">
        <v>1063</v>
      </c>
      <c r="J345" t="s">
        <v>17</v>
      </c>
      <c r="K345" t="s">
        <v>18</v>
      </c>
      <c r="L345" t="s">
        <v>53</v>
      </c>
      <c r="M345">
        <v>10.44</v>
      </c>
      <c r="N345">
        <v>5</v>
      </c>
      <c r="O345">
        <v>0.2</v>
      </c>
      <c r="P345">
        <v>3.3929999999999998</v>
      </c>
      <c r="Q345" s="1">
        <v>0.32500000000000001</v>
      </c>
      <c r="R345" t="s">
        <v>4</v>
      </c>
      <c r="S345" t="s">
        <v>408</v>
      </c>
    </row>
    <row r="346" spans="1:19" x14ac:dyDescent="0.3">
      <c r="A346">
        <v>914</v>
      </c>
      <c r="B346" t="s">
        <v>1064</v>
      </c>
      <c r="C346">
        <v>2017</v>
      </c>
      <c r="D346" t="s">
        <v>392</v>
      </c>
      <c r="E346" t="s">
        <v>13</v>
      </c>
      <c r="F346" t="s">
        <v>225</v>
      </c>
      <c r="G346" t="s">
        <v>40</v>
      </c>
      <c r="H346" t="s">
        <v>38</v>
      </c>
      <c r="I346" t="s">
        <v>1065</v>
      </c>
      <c r="J346" t="s">
        <v>10</v>
      </c>
      <c r="K346" t="s">
        <v>24</v>
      </c>
      <c r="L346" t="s">
        <v>53</v>
      </c>
      <c r="M346">
        <v>46.94</v>
      </c>
      <c r="N346">
        <v>1</v>
      </c>
      <c r="O346">
        <v>0</v>
      </c>
      <c r="P346">
        <v>19.2454</v>
      </c>
      <c r="Q346" s="1">
        <v>0.41</v>
      </c>
      <c r="R346" t="s">
        <v>4</v>
      </c>
      <c r="S346" t="s">
        <v>394</v>
      </c>
    </row>
    <row r="347" spans="1:19" x14ac:dyDescent="0.3">
      <c r="A347">
        <v>916</v>
      </c>
      <c r="B347" t="s">
        <v>1066</v>
      </c>
      <c r="C347">
        <v>2014</v>
      </c>
      <c r="D347" t="s">
        <v>396</v>
      </c>
      <c r="E347" t="s">
        <v>13</v>
      </c>
      <c r="F347" t="s">
        <v>113</v>
      </c>
      <c r="G347" t="s">
        <v>37</v>
      </c>
      <c r="H347" t="s">
        <v>38</v>
      </c>
      <c r="I347" t="s">
        <v>1067</v>
      </c>
      <c r="J347" t="s">
        <v>10</v>
      </c>
      <c r="K347" t="s">
        <v>22</v>
      </c>
      <c r="L347" t="s">
        <v>19</v>
      </c>
      <c r="M347">
        <v>99.918000000000006</v>
      </c>
      <c r="N347">
        <v>2</v>
      </c>
      <c r="O347">
        <v>0.3</v>
      </c>
      <c r="P347">
        <v>-18.5562</v>
      </c>
      <c r="Q347" s="1">
        <v>-0.185714285714286</v>
      </c>
      <c r="R347" t="s">
        <v>401</v>
      </c>
      <c r="S347" t="s">
        <v>402</v>
      </c>
    </row>
    <row r="348" spans="1:19" x14ac:dyDescent="0.3">
      <c r="A348">
        <v>919</v>
      </c>
      <c r="B348" t="s">
        <v>1068</v>
      </c>
      <c r="C348">
        <v>2016</v>
      </c>
      <c r="D348" t="s">
        <v>447</v>
      </c>
      <c r="E348" t="s">
        <v>13</v>
      </c>
      <c r="F348" t="s">
        <v>126</v>
      </c>
      <c r="G348" t="s">
        <v>37</v>
      </c>
      <c r="H348" t="s">
        <v>38</v>
      </c>
      <c r="I348" t="s">
        <v>969</v>
      </c>
      <c r="J348" t="s">
        <v>17</v>
      </c>
      <c r="K348" t="s">
        <v>51</v>
      </c>
      <c r="L348" t="s">
        <v>19</v>
      </c>
      <c r="M348">
        <v>149.352</v>
      </c>
      <c r="N348">
        <v>3</v>
      </c>
      <c r="O348">
        <v>0.2</v>
      </c>
      <c r="P348">
        <v>50.406300000000002</v>
      </c>
      <c r="Q348" s="1">
        <v>0.33750000000000002</v>
      </c>
      <c r="R348" t="s">
        <v>4</v>
      </c>
      <c r="S348" t="s">
        <v>408</v>
      </c>
    </row>
    <row r="349" spans="1:19" x14ac:dyDescent="0.3">
      <c r="A349">
        <v>922</v>
      </c>
      <c r="B349" t="s">
        <v>1069</v>
      </c>
      <c r="C349">
        <v>2015</v>
      </c>
      <c r="D349" t="s">
        <v>406</v>
      </c>
      <c r="E349" t="s">
        <v>6</v>
      </c>
      <c r="F349" t="s">
        <v>66</v>
      </c>
      <c r="G349" t="s">
        <v>67</v>
      </c>
      <c r="H349" t="s">
        <v>48</v>
      </c>
      <c r="I349" t="s">
        <v>1070</v>
      </c>
      <c r="J349" t="s">
        <v>26</v>
      </c>
      <c r="K349" t="s">
        <v>50</v>
      </c>
      <c r="L349" t="s">
        <v>19</v>
      </c>
      <c r="M349">
        <v>85.14</v>
      </c>
      <c r="N349">
        <v>3</v>
      </c>
      <c r="O349">
        <v>0</v>
      </c>
      <c r="P349">
        <v>34.907400000000003</v>
      </c>
      <c r="Q349" s="1">
        <v>0.41</v>
      </c>
      <c r="R349" t="s">
        <v>4</v>
      </c>
      <c r="S349" t="s">
        <v>394</v>
      </c>
    </row>
    <row r="350" spans="1:19" x14ac:dyDescent="0.3">
      <c r="A350">
        <v>928</v>
      </c>
      <c r="B350" t="s">
        <v>1071</v>
      </c>
      <c r="C350">
        <v>2015</v>
      </c>
      <c r="D350" t="s">
        <v>399</v>
      </c>
      <c r="E350" t="s">
        <v>35</v>
      </c>
      <c r="F350" t="s">
        <v>73</v>
      </c>
      <c r="G350" t="s">
        <v>74</v>
      </c>
      <c r="H350" t="s">
        <v>9</v>
      </c>
      <c r="I350" t="s">
        <v>1072</v>
      </c>
      <c r="J350" t="s">
        <v>17</v>
      </c>
      <c r="K350" t="s">
        <v>25</v>
      </c>
      <c r="L350" t="s">
        <v>19</v>
      </c>
      <c r="M350">
        <v>46.2</v>
      </c>
      <c r="N350">
        <v>4</v>
      </c>
      <c r="O350">
        <v>0</v>
      </c>
      <c r="P350">
        <v>12.936</v>
      </c>
      <c r="Q350" s="1">
        <v>0.28000000000000003</v>
      </c>
      <c r="R350" t="s">
        <v>4</v>
      </c>
      <c r="S350" t="s">
        <v>394</v>
      </c>
    </row>
    <row r="351" spans="1:19" x14ac:dyDescent="0.3">
      <c r="A351">
        <v>930</v>
      </c>
      <c r="B351" t="s">
        <v>1073</v>
      </c>
      <c r="C351">
        <v>2017</v>
      </c>
      <c r="D351" t="s">
        <v>406</v>
      </c>
      <c r="E351" t="s">
        <v>6</v>
      </c>
      <c r="F351" t="s">
        <v>235</v>
      </c>
      <c r="G351" t="s">
        <v>95</v>
      </c>
      <c r="H351" t="s">
        <v>48</v>
      </c>
      <c r="I351" t="s">
        <v>839</v>
      </c>
      <c r="J351" t="s">
        <v>17</v>
      </c>
      <c r="K351" t="s">
        <v>25</v>
      </c>
      <c r="L351" t="s">
        <v>53</v>
      </c>
      <c r="M351">
        <v>14.592000000000001</v>
      </c>
      <c r="N351">
        <v>3</v>
      </c>
      <c r="O351">
        <v>0.2</v>
      </c>
      <c r="P351">
        <v>2.5535999999999999</v>
      </c>
      <c r="Q351" s="1">
        <v>0.17499999999999999</v>
      </c>
      <c r="R351" t="s">
        <v>4</v>
      </c>
      <c r="S351" t="s">
        <v>408</v>
      </c>
    </row>
    <row r="352" spans="1:19" x14ac:dyDescent="0.3">
      <c r="A352">
        <v>939</v>
      </c>
      <c r="B352" t="s">
        <v>1074</v>
      </c>
      <c r="C352">
        <v>2015</v>
      </c>
      <c r="D352" t="s">
        <v>410</v>
      </c>
      <c r="E352" t="s">
        <v>13</v>
      </c>
      <c r="F352" t="s">
        <v>236</v>
      </c>
      <c r="G352" t="s">
        <v>15</v>
      </c>
      <c r="H352" t="s">
        <v>16</v>
      </c>
      <c r="I352" t="s">
        <v>1075</v>
      </c>
      <c r="J352" t="s">
        <v>17</v>
      </c>
      <c r="K352" t="s">
        <v>32</v>
      </c>
      <c r="L352" t="s">
        <v>19</v>
      </c>
      <c r="M352">
        <v>12.96</v>
      </c>
      <c r="N352">
        <v>2</v>
      </c>
      <c r="O352">
        <v>0</v>
      </c>
      <c r="P352">
        <v>6.2207999999999997</v>
      </c>
      <c r="Q352" s="1">
        <v>0.48</v>
      </c>
      <c r="R352" t="s">
        <v>4</v>
      </c>
      <c r="S352" t="s">
        <v>394</v>
      </c>
    </row>
    <row r="353" spans="1:19" x14ac:dyDescent="0.3">
      <c r="A353">
        <v>941</v>
      </c>
      <c r="B353" t="s">
        <v>1076</v>
      </c>
      <c r="C353">
        <v>2016</v>
      </c>
      <c r="D353" t="s">
        <v>396</v>
      </c>
      <c r="E353" t="s">
        <v>13</v>
      </c>
      <c r="F353" t="s">
        <v>43</v>
      </c>
      <c r="G353" t="s">
        <v>15</v>
      </c>
      <c r="H353" t="s">
        <v>16</v>
      </c>
      <c r="I353" t="s">
        <v>1077</v>
      </c>
      <c r="J353" t="s">
        <v>17</v>
      </c>
      <c r="K353" t="s">
        <v>32</v>
      </c>
      <c r="L353" t="s">
        <v>53</v>
      </c>
      <c r="M353">
        <v>17.12</v>
      </c>
      <c r="N353">
        <v>2</v>
      </c>
      <c r="O353">
        <v>0</v>
      </c>
      <c r="P353">
        <v>8.0464000000000002</v>
      </c>
      <c r="Q353" s="1">
        <v>0.47</v>
      </c>
      <c r="R353" t="s">
        <v>4</v>
      </c>
      <c r="S353" t="s">
        <v>394</v>
      </c>
    </row>
    <row r="354" spans="1:19" x14ac:dyDescent="0.3">
      <c r="A354">
        <v>944</v>
      </c>
      <c r="B354" t="s">
        <v>1078</v>
      </c>
      <c r="C354">
        <v>2015</v>
      </c>
      <c r="D354" t="s">
        <v>417</v>
      </c>
      <c r="E354" t="s">
        <v>6</v>
      </c>
      <c r="F354" t="s">
        <v>33</v>
      </c>
      <c r="G354" t="s">
        <v>34</v>
      </c>
      <c r="H354" t="s">
        <v>16</v>
      </c>
      <c r="I354" t="s">
        <v>1079</v>
      </c>
      <c r="J354" t="s">
        <v>17</v>
      </c>
      <c r="K354" t="s">
        <v>32</v>
      </c>
      <c r="L354" t="s">
        <v>19</v>
      </c>
      <c r="M354">
        <v>32.4</v>
      </c>
      <c r="N354">
        <v>5</v>
      </c>
      <c r="O354">
        <v>0</v>
      </c>
      <c r="P354">
        <v>15.552</v>
      </c>
      <c r="Q354" s="1">
        <v>0.48</v>
      </c>
      <c r="R354" t="s">
        <v>4</v>
      </c>
      <c r="S354" t="s">
        <v>394</v>
      </c>
    </row>
    <row r="355" spans="1:19" x14ac:dyDescent="0.3">
      <c r="A355">
        <v>947</v>
      </c>
      <c r="B355" t="s">
        <v>1080</v>
      </c>
      <c r="C355">
        <v>2015</v>
      </c>
      <c r="D355" t="s">
        <v>425</v>
      </c>
      <c r="E355" t="s">
        <v>6</v>
      </c>
      <c r="F355" t="s">
        <v>195</v>
      </c>
      <c r="G355" t="s">
        <v>72</v>
      </c>
      <c r="H355" t="s">
        <v>16</v>
      </c>
      <c r="I355" t="s">
        <v>1081</v>
      </c>
      <c r="J355" t="s">
        <v>10</v>
      </c>
      <c r="K355" t="s">
        <v>22</v>
      </c>
      <c r="L355" t="s">
        <v>53</v>
      </c>
      <c r="M355">
        <v>393.16500000000002</v>
      </c>
      <c r="N355">
        <v>3</v>
      </c>
      <c r="O355">
        <v>0.5</v>
      </c>
      <c r="P355">
        <v>-204.44579999999999</v>
      </c>
      <c r="Q355" s="1">
        <v>-0.52</v>
      </c>
      <c r="R355" t="s">
        <v>401</v>
      </c>
      <c r="S355" t="s">
        <v>402</v>
      </c>
    </row>
    <row r="356" spans="1:19" x14ac:dyDescent="0.3">
      <c r="A356">
        <v>948</v>
      </c>
      <c r="B356" t="s">
        <v>1082</v>
      </c>
      <c r="C356">
        <v>2017</v>
      </c>
      <c r="D356" t="s">
        <v>392</v>
      </c>
      <c r="E356" t="s">
        <v>35</v>
      </c>
      <c r="F356" t="s">
        <v>46</v>
      </c>
      <c r="G356" t="s">
        <v>47</v>
      </c>
      <c r="H356" t="s">
        <v>48</v>
      </c>
      <c r="I356" t="s">
        <v>1083</v>
      </c>
      <c r="J356" t="s">
        <v>10</v>
      </c>
      <c r="K356" t="s">
        <v>24</v>
      </c>
      <c r="L356" t="s">
        <v>19</v>
      </c>
      <c r="M356">
        <v>516.48800000000006</v>
      </c>
      <c r="N356">
        <v>7</v>
      </c>
      <c r="O356">
        <v>0.2</v>
      </c>
      <c r="P356">
        <v>-12.9122</v>
      </c>
      <c r="Q356" s="1">
        <v>-2.5000000000000001E-2</v>
      </c>
      <c r="R356" t="s">
        <v>401</v>
      </c>
      <c r="S356" t="s">
        <v>408</v>
      </c>
    </row>
    <row r="357" spans="1:19" x14ac:dyDescent="0.3">
      <c r="A357">
        <v>953</v>
      </c>
      <c r="B357" t="s">
        <v>1084</v>
      </c>
      <c r="C357">
        <v>2017</v>
      </c>
      <c r="D357" t="s">
        <v>406</v>
      </c>
      <c r="E357" t="s">
        <v>6</v>
      </c>
      <c r="F357" t="s">
        <v>46</v>
      </c>
      <c r="G357" t="s">
        <v>47</v>
      </c>
      <c r="H357" t="s">
        <v>48</v>
      </c>
      <c r="I357" t="s">
        <v>1085</v>
      </c>
      <c r="J357" t="s">
        <v>10</v>
      </c>
      <c r="K357" t="s">
        <v>24</v>
      </c>
      <c r="L357" t="s">
        <v>19</v>
      </c>
      <c r="M357">
        <v>25.472000000000001</v>
      </c>
      <c r="N357">
        <v>4</v>
      </c>
      <c r="O357">
        <v>0.2</v>
      </c>
      <c r="P357">
        <v>7.6416000000000004</v>
      </c>
      <c r="Q357" s="1">
        <v>0.3</v>
      </c>
      <c r="R357" t="s">
        <v>4</v>
      </c>
      <c r="S357" t="s">
        <v>408</v>
      </c>
    </row>
    <row r="358" spans="1:19" x14ac:dyDescent="0.3">
      <c r="A358">
        <v>957</v>
      </c>
      <c r="B358" t="s">
        <v>1086</v>
      </c>
      <c r="C358">
        <v>2017</v>
      </c>
      <c r="D358" t="s">
        <v>417</v>
      </c>
      <c r="E358" t="s">
        <v>6</v>
      </c>
      <c r="F358" t="s">
        <v>99</v>
      </c>
      <c r="G358" t="s">
        <v>72</v>
      </c>
      <c r="H358" t="s">
        <v>16</v>
      </c>
      <c r="I358" t="s">
        <v>1087</v>
      </c>
      <c r="J358" t="s">
        <v>26</v>
      </c>
      <c r="K358" t="s">
        <v>27</v>
      </c>
      <c r="L358" t="s">
        <v>5</v>
      </c>
      <c r="M358">
        <v>29.591999999999999</v>
      </c>
      <c r="N358">
        <v>1</v>
      </c>
      <c r="O358">
        <v>0.2</v>
      </c>
      <c r="P358">
        <v>2.5893000000000002</v>
      </c>
      <c r="Q358" s="1">
        <v>8.7499999999999994E-2</v>
      </c>
      <c r="R358" t="s">
        <v>4</v>
      </c>
      <c r="S358" t="s">
        <v>408</v>
      </c>
    </row>
    <row r="359" spans="1:19" x14ac:dyDescent="0.3">
      <c r="A359">
        <v>960</v>
      </c>
      <c r="B359" t="s">
        <v>1088</v>
      </c>
      <c r="C359">
        <v>2015</v>
      </c>
      <c r="D359" t="s">
        <v>428</v>
      </c>
      <c r="E359" t="s">
        <v>6</v>
      </c>
      <c r="F359" t="s">
        <v>215</v>
      </c>
      <c r="G359" t="s">
        <v>15</v>
      </c>
      <c r="H359" t="s">
        <v>16</v>
      </c>
      <c r="I359" t="s">
        <v>1089</v>
      </c>
      <c r="J359" t="s">
        <v>10</v>
      </c>
      <c r="K359" t="s">
        <v>24</v>
      </c>
      <c r="L359" t="s">
        <v>158</v>
      </c>
      <c r="M359">
        <v>204.6</v>
      </c>
      <c r="N359">
        <v>2</v>
      </c>
      <c r="O359">
        <v>0</v>
      </c>
      <c r="P359">
        <v>53.195999999999998</v>
      </c>
      <c r="Q359" s="1">
        <v>0.26</v>
      </c>
      <c r="R359" t="s">
        <v>4</v>
      </c>
      <c r="S359" t="s">
        <v>394</v>
      </c>
    </row>
    <row r="360" spans="1:19" x14ac:dyDescent="0.3">
      <c r="A360">
        <v>964</v>
      </c>
      <c r="B360" t="s">
        <v>1090</v>
      </c>
      <c r="C360">
        <v>2014</v>
      </c>
      <c r="D360" t="s">
        <v>428</v>
      </c>
      <c r="E360" t="s">
        <v>6</v>
      </c>
      <c r="F360" t="s">
        <v>237</v>
      </c>
      <c r="G360" t="s">
        <v>21</v>
      </c>
      <c r="H360" t="s">
        <v>9</v>
      </c>
      <c r="I360" t="s">
        <v>1091</v>
      </c>
      <c r="J360" t="s">
        <v>17</v>
      </c>
      <c r="K360" t="s">
        <v>18</v>
      </c>
      <c r="L360" t="s">
        <v>5</v>
      </c>
      <c r="M360">
        <v>4.6079999999999997</v>
      </c>
      <c r="N360">
        <v>2</v>
      </c>
      <c r="O360">
        <v>0.2</v>
      </c>
      <c r="P360">
        <v>1.6704000000000001</v>
      </c>
      <c r="Q360" s="1">
        <v>0.36249999999999999</v>
      </c>
      <c r="R360" t="s">
        <v>4</v>
      </c>
      <c r="S360" t="s">
        <v>408</v>
      </c>
    </row>
    <row r="361" spans="1:19" x14ac:dyDescent="0.3">
      <c r="A361">
        <v>965</v>
      </c>
      <c r="B361" t="s">
        <v>1092</v>
      </c>
      <c r="C361">
        <v>2017</v>
      </c>
      <c r="D361" t="s">
        <v>406</v>
      </c>
      <c r="E361" t="s">
        <v>35</v>
      </c>
      <c r="F361" t="s">
        <v>66</v>
      </c>
      <c r="G361" t="s">
        <v>67</v>
      </c>
      <c r="H361" t="s">
        <v>48</v>
      </c>
      <c r="I361" t="s">
        <v>1093</v>
      </c>
      <c r="J361" t="s">
        <v>17</v>
      </c>
      <c r="K361" t="s">
        <v>18</v>
      </c>
      <c r="L361" t="s">
        <v>53</v>
      </c>
      <c r="M361">
        <v>9.82</v>
      </c>
      <c r="N361">
        <v>2</v>
      </c>
      <c r="O361">
        <v>0</v>
      </c>
      <c r="P361">
        <v>4.8117999999999999</v>
      </c>
      <c r="Q361" s="1">
        <v>0.49</v>
      </c>
      <c r="R361" t="s">
        <v>4</v>
      </c>
      <c r="S361" t="s">
        <v>394</v>
      </c>
    </row>
    <row r="362" spans="1:19" x14ac:dyDescent="0.3">
      <c r="A362">
        <v>971</v>
      </c>
      <c r="B362" t="s">
        <v>1094</v>
      </c>
      <c r="C362">
        <v>2014</v>
      </c>
      <c r="D362" t="s">
        <v>430</v>
      </c>
      <c r="E362" t="s">
        <v>6</v>
      </c>
      <c r="F362" t="s">
        <v>46</v>
      </c>
      <c r="G362" t="s">
        <v>47</v>
      </c>
      <c r="H362" t="s">
        <v>48</v>
      </c>
      <c r="I362" t="s">
        <v>1095</v>
      </c>
      <c r="J362" t="s">
        <v>10</v>
      </c>
      <c r="K362" t="s">
        <v>24</v>
      </c>
      <c r="L362" t="s">
        <v>5</v>
      </c>
      <c r="M362">
        <v>127.104</v>
      </c>
      <c r="N362">
        <v>6</v>
      </c>
      <c r="O362">
        <v>0.2</v>
      </c>
      <c r="P362">
        <v>28.598400000000002</v>
      </c>
      <c r="Q362" s="1">
        <v>0.22500000000000001</v>
      </c>
      <c r="R362" t="s">
        <v>4</v>
      </c>
      <c r="S362" t="s">
        <v>408</v>
      </c>
    </row>
    <row r="363" spans="1:19" x14ac:dyDescent="0.3">
      <c r="A363">
        <v>975</v>
      </c>
      <c r="B363" t="s">
        <v>1096</v>
      </c>
      <c r="C363">
        <v>2017</v>
      </c>
      <c r="D363" t="s">
        <v>399</v>
      </c>
      <c r="E363" t="s">
        <v>35</v>
      </c>
      <c r="F363" t="s">
        <v>66</v>
      </c>
      <c r="G363" t="s">
        <v>67</v>
      </c>
      <c r="H363" t="s">
        <v>48</v>
      </c>
      <c r="I363" t="s">
        <v>806</v>
      </c>
      <c r="J363" t="s">
        <v>26</v>
      </c>
      <c r="K363" t="s">
        <v>27</v>
      </c>
      <c r="L363" t="s">
        <v>5</v>
      </c>
      <c r="M363">
        <v>160.93</v>
      </c>
      <c r="N363">
        <v>7</v>
      </c>
      <c r="O363">
        <v>0</v>
      </c>
      <c r="P363">
        <v>3.2185999999999999</v>
      </c>
      <c r="Q363" s="1">
        <v>0.02</v>
      </c>
      <c r="R363" t="s">
        <v>4</v>
      </c>
      <c r="S363" t="s">
        <v>394</v>
      </c>
    </row>
    <row r="364" spans="1:19" x14ac:dyDescent="0.3">
      <c r="A364">
        <v>977</v>
      </c>
      <c r="B364" t="s">
        <v>1097</v>
      </c>
      <c r="C364">
        <v>2017</v>
      </c>
      <c r="D364" t="s">
        <v>425</v>
      </c>
      <c r="E364" t="s">
        <v>6</v>
      </c>
      <c r="F364" t="s">
        <v>85</v>
      </c>
      <c r="G364" t="s">
        <v>86</v>
      </c>
      <c r="H364" t="s">
        <v>16</v>
      </c>
      <c r="I364" t="s">
        <v>1098</v>
      </c>
      <c r="J364" t="s">
        <v>17</v>
      </c>
      <c r="K364" t="s">
        <v>28</v>
      </c>
      <c r="L364" t="s">
        <v>19</v>
      </c>
      <c r="M364">
        <v>1.08</v>
      </c>
      <c r="N364">
        <v>2</v>
      </c>
      <c r="O364">
        <v>0.7</v>
      </c>
      <c r="P364">
        <v>-0.79200000000000004</v>
      </c>
      <c r="Q364" s="1">
        <v>-0.73333333333333295</v>
      </c>
      <c r="R364" t="s">
        <v>401</v>
      </c>
      <c r="S364" t="s">
        <v>402</v>
      </c>
    </row>
    <row r="365" spans="1:19" x14ac:dyDescent="0.3">
      <c r="A365">
        <v>978</v>
      </c>
      <c r="B365" t="s">
        <v>1099</v>
      </c>
      <c r="C365">
        <v>2017</v>
      </c>
      <c r="D365" t="s">
        <v>430</v>
      </c>
      <c r="E365" t="s">
        <v>13</v>
      </c>
      <c r="F365" t="s">
        <v>130</v>
      </c>
      <c r="G365" t="s">
        <v>61</v>
      </c>
      <c r="H365" t="s">
        <v>38</v>
      </c>
      <c r="I365" t="s">
        <v>624</v>
      </c>
      <c r="J365" t="s">
        <v>26</v>
      </c>
      <c r="K365" t="s">
        <v>114</v>
      </c>
      <c r="L365" t="s">
        <v>53</v>
      </c>
      <c r="M365">
        <v>3059.982</v>
      </c>
      <c r="N365">
        <v>2</v>
      </c>
      <c r="O365">
        <v>0.1</v>
      </c>
      <c r="P365">
        <v>679.99599999999998</v>
      </c>
      <c r="Q365" s="1">
        <v>0.22222222222222199</v>
      </c>
      <c r="R365" t="s">
        <v>4</v>
      </c>
      <c r="S365" t="s">
        <v>394</v>
      </c>
    </row>
    <row r="366" spans="1:19" x14ac:dyDescent="0.3">
      <c r="A366">
        <v>980</v>
      </c>
      <c r="B366" t="s">
        <v>1100</v>
      </c>
      <c r="C366">
        <v>2015</v>
      </c>
      <c r="D366" t="s">
        <v>410</v>
      </c>
      <c r="E366" t="s">
        <v>13</v>
      </c>
      <c r="F366" t="s">
        <v>94</v>
      </c>
      <c r="G366" t="s">
        <v>65</v>
      </c>
      <c r="H366" t="s">
        <v>38</v>
      </c>
      <c r="I366" t="s">
        <v>1101</v>
      </c>
      <c r="J366" t="s">
        <v>17</v>
      </c>
      <c r="K366" t="s">
        <v>32</v>
      </c>
      <c r="L366" t="s">
        <v>53</v>
      </c>
      <c r="M366">
        <v>34.020000000000003</v>
      </c>
      <c r="N366">
        <v>3</v>
      </c>
      <c r="O366">
        <v>0</v>
      </c>
      <c r="P366">
        <v>16.669799999999999</v>
      </c>
      <c r="Q366" s="1">
        <v>0.49</v>
      </c>
      <c r="R366" t="s">
        <v>4</v>
      </c>
      <c r="S366" t="s">
        <v>394</v>
      </c>
    </row>
    <row r="367" spans="1:19" x14ac:dyDescent="0.3">
      <c r="A367">
        <v>985</v>
      </c>
      <c r="B367" t="s">
        <v>1102</v>
      </c>
      <c r="C367">
        <v>2017</v>
      </c>
      <c r="D367" t="s">
        <v>428</v>
      </c>
      <c r="E367" t="s">
        <v>35</v>
      </c>
      <c r="F367" t="s">
        <v>104</v>
      </c>
      <c r="G367" t="s">
        <v>37</v>
      </c>
      <c r="H367" t="s">
        <v>38</v>
      </c>
      <c r="I367" t="s">
        <v>1103</v>
      </c>
      <c r="J367" t="s">
        <v>17</v>
      </c>
      <c r="K367" t="s">
        <v>18</v>
      </c>
      <c r="L367" t="s">
        <v>19</v>
      </c>
      <c r="M367">
        <v>7.968</v>
      </c>
      <c r="N367">
        <v>2</v>
      </c>
      <c r="O367">
        <v>0.2</v>
      </c>
      <c r="P367">
        <v>2.5895999999999999</v>
      </c>
      <c r="Q367" s="1">
        <v>0.32500000000000001</v>
      </c>
      <c r="R367" t="s">
        <v>4</v>
      </c>
      <c r="S367" t="s">
        <v>408</v>
      </c>
    </row>
    <row r="368" spans="1:19" x14ac:dyDescent="0.3">
      <c r="A368">
        <v>988</v>
      </c>
      <c r="B368" t="s">
        <v>1104</v>
      </c>
      <c r="C368">
        <v>2015</v>
      </c>
      <c r="D368" t="s">
        <v>447</v>
      </c>
      <c r="E368" t="s">
        <v>6</v>
      </c>
      <c r="F368" t="s">
        <v>52</v>
      </c>
      <c r="G368" t="s">
        <v>37</v>
      </c>
      <c r="H368" t="s">
        <v>38</v>
      </c>
      <c r="I368" t="s">
        <v>1105</v>
      </c>
      <c r="J368" t="s">
        <v>17</v>
      </c>
      <c r="K368" t="s">
        <v>28</v>
      </c>
      <c r="L368" t="s">
        <v>158</v>
      </c>
      <c r="M368">
        <v>1.1120000000000001</v>
      </c>
      <c r="N368">
        <v>2</v>
      </c>
      <c r="O368">
        <v>0.8</v>
      </c>
      <c r="P368">
        <v>-1.8904000000000001</v>
      </c>
      <c r="Q368" s="1">
        <v>-1.7</v>
      </c>
      <c r="R368" t="s">
        <v>401</v>
      </c>
      <c r="S368" t="s">
        <v>402</v>
      </c>
    </row>
    <row r="369" spans="1:19" x14ac:dyDescent="0.3">
      <c r="A369">
        <v>989</v>
      </c>
      <c r="B369" t="s">
        <v>1106</v>
      </c>
      <c r="C369">
        <v>2017</v>
      </c>
      <c r="D369" t="s">
        <v>417</v>
      </c>
      <c r="E369" t="s">
        <v>13</v>
      </c>
      <c r="F369" t="s">
        <v>180</v>
      </c>
      <c r="G369" t="s">
        <v>67</v>
      </c>
      <c r="H369" t="s">
        <v>48</v>
      </c>
      <c r="I369" t="s">
        <v>911</v>
      </c>
      <c r="J369" t="s">
        <v>10</v>
      </c>
      <c r="K369" t="s">
        <v>24</v>
      </c>
      <c r="L369" t="s">
        <v>19</v>
      </c>
      <c r="M369">
        <v>520.04999999999995</v>
      </c>
      <c r="N369">
        <v>5</v>
      </c>
      <c r="O369">
        <v>0</v>
      </c>
      <c r="P369">
        <v>72.807000000000002</v>
      </c>
      <c r="Q369" s="1">
        <v>0.14000000000000001</v>
      </c>
      <c r="R369" t="s">
        <v>4</v>
      </c>
      <c r="S369" t="s">
        <v>394</v>
      </c>
    </row>
    <row r="370" spans="1:19" x14ac:dyDescent="0.3">
      <c r="A370">
        <v>991</v>
      </c>
      <c r="B370" t="s">
        <v>1107</v>
      </c>
      <c r="C370">
        <v>2015</v>
      </c>
      <c r="D370" t="s">
        <v>447</v>
      </c>
      <c r="E370" t="s">
        <v>35</v>
      </c>
      <c r="F370" t="s">
        <v>179</v>
      </c>
      <c r="G370" t="s">
        <v>21</v>
      </c>
      <c r="H370" t="s">
        <v>9</v>
      </c>
      <c r="I370" t="s">
        <v>1108</v>
      </c>
      <c r="J370" t="s">
        <v>10</v>
      </c>
      <c r="K370" t="s">
        <v>12</v>
      </c>
      <c r="L370" t="s">
        <v>5</v>
      </c>
      <c r="M370">
        <v>1166.92</v>
      </c>
      <c r="N370">
        <v>5</v>
      </c>
      <c r="O370">
        <v>0.2</v>
      </c>
      <c r="P370">
        <v>131.27850000000001</v>
      </c>
      <c r="Q370" s="1">
        <v>0.1125</v>
      </c>
      <c r="R370" t="s">
        <v>4</v>
      </c>
      <c r="S370" t="s">
        <v>408</v>
      </c>
    </row>
    <row r="371" spans="1:19" x14ac:dyDescent="0.3">
      <c r="A371">
        <v>992</v>
      </c>
      <c r="B371" t="s">
        <v>1109</v>
      </c>
      <c r="C371">
        <v>2016</v>
      </c>
      <c r="D371" t="s">
        <v>428</v>
      </c>
      <c r="E371" t="s">
        <v>6</v>
      </c>
      <c r="F371" t="s">
        <v>66</v>
      </c>
      <c r="G371" t="s">
        <v>67</v>
      </c>
      <c r="H371" t="s">
        <v>48</v>
      </c>
      <c r="I371" t="s">
        <v>961</v>
      </c>
      <c r="J371" t="s">
        <v>17</v>
      </c>
      <c r="K371" t="s">
        <v>28</v>
      </c>
      <c r="L371" t="s">
        <v>53</v>
      </c>
      <c r="M371">
        <v>14.624000000000001</v>
      </c>
      <c r="N371">
        <v>2</v>
      </c>
      <c r="O371">
        <v>0.2</v>
      </c>
      <c r="P371">
        <v>5.484</v>
      </c>
      <c r="Q371" s="1">
        <v>0.375</v>
      </c>
      <c r="R371" t="s">
        <v>4</v>
      </c>
      <c r="S371" t="s">
        <v>408</v>
      </c>
    </row>
    <row r="372" spans="1:19" x14ac:dyDescent="0.3">
      <c r="A372">
        <v>993</v>
      </c>
      <c r="B372" t="s">
        <v>1110</v>
      </c>
      <c r="C372">
        <v>2016</v>
      </c>
      <c r="D372" t="s">
        <v>420</v>
      </c>
      <c r="E372" t="s">
        <v>6</v>
      </c>
      <c r="F372" t="s">
        <v>108</v>
      </c>
      <c r="G372" t="s">
        <v>15</v>
      </c>
      <c r="H372" t="s">
        <v>16</v>
      </c>
      <c r="I372" t="s">
        <v>1111</v>
      </c>
      <c r="J372" t="s">
        <v>17</v>
      </c>
      <c r="K372" t="s">
        <v>68</v>
      </c>
      <c r="L372" t="s">
        <v>53</v>
      </c>
      <c r="M372">
        <v>10.23</v>
      </c>
      <c r="N372">
        <v>3</v>
      </c>
      <c r="O372">
        <v>0</v>
      </c>
      <c r="P372">
        <v>4.9104000000000001</v>
      </c>
      <c r="Q372" s="1">
        <v>0.48</v>
      </c>
      <c r="R372" t="s">
        <v>4</v>
      </c>
      <c r="S372" t="s">
        <v>394</v>
      </c>
    </row>
    <row r="373" spans="1:19" x14ac:dyDescent="0.3">
      <c r="A373">
        <v>995</v>
      </c>
      <c r="B373" t="s">
        <v>1112</v>
      </c>
      <c r="C373">
        <v>2014</v>
      </c>
      <c r="D373" t="s">
        <v>417</v>
      </c>
      <c r="E373" t="s">
        <v>13</v>
      </c>
      <c r="F373" t="s">
        <v>238</v>
      </c>
      <c r="G373" t="s">
        <v>74</v>
      </c>
      <c r="H373" t="s">
        <v>9</v>
      </c>
      <c r="I373" t="s">
        <v>1113</v>
      </c>
      <c r="J373" t="s">
        <v>17</v>
      </c>
      <c r="K373" t="s">
        <v>28</v>
      </c>
      <c r="L373" t="s">
        <v>19</v>
      </c>
      <c r="M373">
        <v>2715.93</v>
      </c>
      <c r="N373">
        <v>7</v>
      </c>
      <c r="O373">
        <v>0</v>
      </c>
      <c r="P373">
        <v>1276.4871000000001</v>
      </c>
      <c r="Q373" s="1">
        <v>0.47</v>
      </c>
      <c r="R373" t="s">
        <v>4</v>
      </c>
      <c r="S373" t="s">
        <v>394</v>
      </c>
    </row>
    <row r="374" spans="1:19" x14ac:dyDescent="0.3">
      <c r="A374">
        <v>997</v>
      </c>
      <c r="B374" t="s">
        <v>1114</v>
      </c>
      <c r="C374">
        <v>2015</v>
      </c>
      <c r="D374" t="s">
        <v>399</v>
      </c>
      <c r="E374" t="s">
        <v>6</v>
      </c>
      <c r="F374" t="s">
        <v>7</v>
      </c>
      <c r="G374" t="s">
        <v>8</v>
      </c>
      <c r="H374" t="s">
        <v>9</v>
      </c>
      <c r="I374" t="s">
        <v>1115</v>
      </c>
      <c r="J374" t="s">
        <v>17</v>
      </c>
      <c r="K374" t="s">
        <v>51</v>
      </c>
      <c r="L374" t="s">
        <v>19</v>
      </c>
      <c r="M374">
        <v>10.67</v>
      </c>
      <c r="N374">
        <v>1</v>
      </c>
      <c r="O374">
        <v>0</v>
      </c>
      <c r="P374">
        <v>4.9081999999999999</v>
      </c>
      <c r="Q374" s="1">
        <v>0.46</v>
      </c>
      <c r="R374" t="s">
        <v>4</v>
      </c>
      <c r="S374" t="s">
        <v>394</v>
      </c>
    </row>
    <row r="375" spans="1:19" x14ac:dyDescent="0.3">
      <c r="A375">
        <v>1001</v>
      </c>
      <c r="B375" t="s">
        <v>1116</v>
      </c>
      <c r="C375">
        <v>2016</v>
      </c>
      <c r="D375" t="s">
        <v>392</v>
      </c>
      <c r="E375" t="s">
        <v>35</v>
      </c>
      <c r="F375" t="s">
        <v>207</v>
      </c>
      <c r="G375" t="s">
        <v>34</v>
      </c>
      <c r="H375" t="s">
        <v>16</v>
      </c>
      <c r="I375" t="s">
        <v>1001</v>
      </c>
      <c r="J375" t="s">
        <v>17</v>
      </c>
      <c r="K375" t="s">
        <v>25</v>
      </c>
      <c r="L375" t="s">
        <v>19</v>
      </c>
      <c r="M375">
        <v>44.02</v>
      </c>
      <c r="N375">
        <v>2</v>
      </c>
      <c r="O375">
        <v>0</v>
      </c>
      <c r="P375">
        <v>11.4452</v>
      </c>
      <c r="Q375" s="1">
        <v>0.26</v>
      </c>
      <c r="R375" t="s">
        <v>4</v>
      </c>
      <c r="S375" t="s">
        <v>394</v>
      </c>
    </row>
    <row r="376" spans="1:19" x14ac:dyDescent="0.3">
      <c r="A376">
        <v>1002</v>
      </c>
      <c r="B376" t="s">
        <v>1117</v>
      </c>
      <c r="C376">
        <v>2015</v>
      </c>
      <c r="D376" t="s">
        <v>425</v>
      </c>
      <c r="E376" t="s">
        <v>6</v>
      </c>
      <c r="F376" t="s">
        <v>66</v>
      </c>
      <c r="G376" t="s">
        <v>67</v>
      </c>
      <c r="H376" t="s">
        <v>48</v>
      </c>
      <c r="I376" t="s">
        <v>1118</v>
      </c>
      <c r="J376" t="s">
        <v>26</v>
      </c>
      <c r="K376" t="s">
        <v>50</v>
      </c>
      <c r="L376" t="s">
        <v>158</v>
      </c>
      <c r="M376">
        <v>2309.65</v>
      </c>
      <c r="N376">
        <v>7</v>
      </c>
      <c r="O376">
        <v>0</v>
      </c>
      <c r="P376">
        <v>762.18449999999996</v>
      </c>
      <c r="Q376" s="1">
        <v>0.33</v>
      </c>
      <c r="R376" t="s">
        <v>4</v>
      </c>
      <c r="S376" t="s">
        <v>394</v>
      </c>
    </row>
    <row r="377" spans="1:19" x14ac:dyDescent="0.3">
      <c r="A377">
        <v>1005</v>
      </c>
      <c r="B377" t="s">
        <v>1119</v>
      </c>
      <c r="C377">
        <v>2015</v>
      </c>
      <c r="D377" t="s">
        <v>420</v>
      </c>
      <c r="E377" t="s">
        <v>6</v>
      </c>
      <c r="F377" t="s">
        <v>239</v>
      </c>
      <c r="G377" t="s">
        <v>15</v>
      </c>
      <c r="H377" t="s">
        <v>16</v>
      </c>
      <c r="I377" t="s">
        <v>1120</v>
      </c>
      <c r="J377" t="s">
        <v>17</v>
      </c>
      <c r="K377" t="s">
        <v>23</v>
      </c>
      <c r="L377" t="s">
        <v>19</v>
      </c>
      <c r="M377">
        <v>484.65</v>
      </c>
      <c r="N377">
        <v>3</v>
      </c>
      <c r="O377">
        <v>0</v>
      </c>
      <c r="P377">
        <v>92.083500000000001</v>
      </c>
      <c r="Q377" s="1">
        <v>0.19</v>
      </c>
      <c r="R377" t="s">
        <v>4</v>
      </c>
      <c r="S377" t="s">
        <v>394</v>
      </c>
    </row>
    <row r="378" spans="1:19" x14ac:dyDescent="0.3">
      <c r="A378">
        <v>1007</v>
      </c>
      <c r="B378" t="s">
        <v>1121</v>
      </c>
      <c r="C378">
        <v>2015</v>
      </c>
      <c r="D378" t="s">
        <v>392</v>
      </c>
      <c r="E378" t="s">
        <v>6</v>
      </c>
      <c r="F378" t="s">
        <v>107</v>
      </c>
      <c r="G378" t="s">
        <v>72</v>
      </c>
      <c r="H378" t="s">
        <v>16</v>
      </c>
      <c r="I378" t="s">
        <v>1122</v>
      </c>
      <c r="J378" t="s">
        <v>17</v>
      </c>
      <c r="K378" t="s">
        <v>51</v>
      </c>
      <c r="L378" t="s">
        <v>53</v>
      </c>
      <c r="M378">
        <v>7.08</v>
      </c>
      <c r="N378">
        <v>3</v>
      </c>
      <c r="O378">
        <v>0.2</v>
      </c>
      <c r="P378">
        <v>2.4780000000000002</v>
      </c>
      <c r="Q378" s="1">
        <v>0.35</v>
      </c>
      <c r="R378" t="s">
        <v>4</v>
      </c>
      <c r="S378" t="s">
        <v>408</v>
      </c>
    </row>
    <row r="379" spans="1:19" x14ac:dyDescent="0.3">
      <c r="A379">
        <v>1009</v>
      </c>
      <c r="B379" t="s">
        <v>1123</v>
      </c>
      <c r="C379">
        <v>2017</v>
      </c>
      <c r="D379" t="s">
        <v>410</v>
      </c>
      <c r="E379" t="s">
        <v>6</v>
      </c>
      <c r="F379" t="s">
        <v>210</v>
      </c>
      <c r="G379" t="s">
        <v>93</v>
      </c>
      <c r="H379" t="s">
        <v>38</v>
      </c>
      <c r="I379" t="s">
        <v>1124</v>
      </c>
      <c r="J379" t="s">
        <v>17</v>
      </c>
      <c r="K379" t="s">
        <v>32</v>
      </c>
      <c r="L379" t="s">
        <v>19</v>
      </c>
      <c r="M379">
        <v>44.75</v>
      </c>
      <c r="N379">
        <v>5</v>
      </c>
      <c r="O379">
        <v>0</v>
      </c>
      <c r="P379">
        <v>20.585000000000001</v>
      </c>
      <c r="Q379" s="1">
        <v>0.46</v>
      </c>
      <c r="R379" t="s">
        <v>4</v>
      </c>
      <c r="S379" t="s">
        <v>394</v>
      </c>
    </row>
    <row r="380" spans="1:19" x14ac:dyDescent="0.3">
      <c r="A380">
        <v>1010</v>
      </c>
      <c r="B380" t="s">
        <v>1125</v>
      </c>
      <c r="C380">
        <v>2017</v>
      </c>
      <c r="D380" t="s">
        <v>420</v>
      </c>
      <c r="E380" t="s">
        <v>6</v>
      </c>
      <c r="F380" t="s">
        <v>70</v>
      </c>
      <c r="G380" t="s">
        <v>56</v>
      </c>
      <c r="H380" t="s">
        <v>38</v>
      </c>
      <c r="I380" t="s">
        <v>954</v>
      </c>
      <c r="J380" t="s">
        <v>26</v>
      </c>
      <c r="K380" t="s">
        <v>27</v>
      </c>
      <c r="L380" t="s">
        <v>53</v>
      </c>
      <c r="M380">
        <v>95.983999999999995</v>
      </c>
      <c r="N380">
        <v>2</v>
      </c>
      <c r="O380">
        <v>0.2</v>
      </c>
      <c r="P380">
        <v>5.9989999999999997</v>
      </c>
      <c r="Q380" s="1">
        <v>6.25E-2</v>
      </c>
      <c r="R380" t="s">
        <v>4</v>
      </c>
      <c r="S380" t="s">
        <v>408</v>
      </c>
    </row>
    <row r="381" spans="1:19" x14ac:dyDescent="0.3">
      <c r="A381">
        <v>1014</v>
      </c>
      <c r="B381" t="s">
        <v>1126</v>
      </c>
      <c r="C381">
        <v>2015</v>
      </c>
      <c r="D381" t="s">
        <v>410</v>
      </c>
      <c r="E381" t="s">
        <v>6</v>
      </c>
      <c r="F381" t="s">
        <v>33</v>
      </c>
      <c r="G381" t="s">
        <v>34</v>
      </c>
      <c r="H381" t="s">
        <v>16</v>
      </c>
      <c r="I381" t="s">
        <v>1127</v>
      </c>
      <c r="J381" t="s">
        <v>10</v>
      </c>
      <c r="K381" t="s">
        <v>22</v>
      </c>
      <c r="L381" t="s">
        <v>5</v>
      </c>
      <c r="M381">
        <v>1618.37</v>
      </c>
      <c r="N381">
        <v>13</v>
      </c>
      <c r="O381">
        <v>0</v>
      </c>
      <c r="P381">
        <v>356.04140000000001</v>
      </c>
      <c r="Q381" s="1">
        <v>0.22</v>
      </c>
      <c r="R381" t="s">
        <v>4</v>
      </c>
      <c r="S381" t="s">
        <v>394</v>
      </c>
    </row>
    <row r="382" spans="1:19" x14ac:dyDescent="0.3">
      <c r="A382">
        <v>1017</v>
      </c>
      <c r="B382" t="s">
        <v>1128</v>
      </c>
      <c r="C382">
        <v>2015</v>
      </c>
      <c r="D382" t="s">
        <v>425</v>
      </c>
      <c r="E382" t="s">
        <v>13</v>
      </c>
      <c r="F382" t="s">
        <v>66</v>
      </c>
      <c r="G382" t="s">
        <v>67</v>
      </c>
      <c r="H382" t="s">
        <v>48</v>
      </c>
      <c r="I382" t="s">
        <v>1129</v>
      </c>
      <c r="J382" t="s">
        <v>10</v>
      </c>
      <c r="K382" t="s">
        <v>24</v>
      </c>
      <c r="L382" t="s">
        <v>19</v>
      </c>
      <c r="M382">
        <v>13.96</v>
      </c>
      <c r="N382">
        <v>2</v>
      </c>
      <c r="O382">
        <v>0</v>
      </c>
      <c r="P382">
        <v>6.7008000000000001</v>
      </c>
      <c r="Q382" s="1">
        <v>0.48</v>
      </c>
      <c r="R382" t="s">
        <v>4</v>
      </c>
      <c r="S382" t="s">
        <v>394</v>
      </c>
    </row>
    <row r="383" spans="1:19" x14ac:dyDescent="0.3">
      <c r="A383">
        <v>1021</v>
      </c>
      <c r="B383" t="s">
        <v>1130</v>
      </c>
      <c r="C383">
        <v>2015</v>
      </c>
      <c r="D383" t="s">
        <v>406</v>
      </c>
      <c r="E383" t="s">
        <v>6</v>
      </c>
      <c r="F383" t="s">
        <v>34</v>
      </c>
      <c r="G383" t="s">
        <v>241</v>
      </c>
      <c r="H383" t="s">
        <v>48</v>
      </c>
      <c r="I383" t="s">
        <v>1131</v>
      </c>
      <c r="J383" t="s">
        <v>17</v>
      </c>
      <c r="K383" t="s">
        <v>25</v>
      </c>
      <c r="L383" t="s">
        <v>19</v>
      </c>
      <c r="M383">
        <v>22.74</v>
      </c>
      <c r="N383">
        <v>3</v>
      </c>
      <c r="O383">
        <v>0</v>
      </c>
      <c r="P383">
        <v>8.8686000000000007</v>
      </c>
      <c r="Q383" s="1">
        <v>0.39</v>
      </c>
      <c r="R383" t="s">
        <v>4</v>
      </c>
      <c r="S383" t="s">
        <v>394</v>
      </c>
    </row>
    <row r="384" spans="1:19" x14ac:dyDescent="0.3">
      <c r="A384">
        <v>1024</v>
      </c>
      <c r="B384" t="s">
        <v>1132</v>
      </c>
      <c r="C384">
        <v>2015</v>
      </c>
      <c r="D384" t="s">
        <v>396</v>
      </c>
      <c r="E384" t="s">
        <v>6</v>
      </c>
      <c r="F384" t="s">
        <v>46</v>
      </c>
      <c r="G384" t="s">
        <v>47</v>
      </c>
      <c r="H384" t="s">
        <v>48</v>
      </c>
      <c r="I384" t="s">
        <v>1133</v>
      </c>
      <c r="J384" t="s">
        <v>17</v>
      </c>
      <c r="K384" t="s">
        <v>51</v>
      </c>
      <c r="L384" t="s">
        <v>19</v>
      </c>
      <c r="M384">
        <v>6.2080000000000002</v>
      </c>
      <c r="N384">
        <v>2</v>
      </c>
      <c r="O384">
        <v>0.2</v>
      </c>
      <c r="P384">
        <v>2.1728000000000001</v>
      </c>
      <c r="Q384" s="1">
        <v>0.35</v>
      </c>
      <c r="R384" t="s">
        <v>4</v>
      </c>
      <c r="S384" t="s">
        <v>408</v>
      </c>
    </row>
    <row r="385" spans="1:19" x14ac:dyDescent="0.3">
      <c r="A385">
        <v>1026</v>
      </c>
      <c r="B385" t="s">
        <v>1134</v>
      </c>
      <c r="C385">
        <v>2016</v>
      </c>
      <c r="D385" t="s">
        <v>430</v>
      </c>
      <c r="E385" t="s">
        <v>35</v>
      </c>
      <c r="F385" t="s">
        <v>73</v>
      </c>
      <c r="G385" t="s">
        <v>95</v>
      </c>
      <c r="H385" t="s">
        <v>48</v>
      </c>
      <c r="I385" t="s">
        <v>1135</v>
      </c>
      <c r="J385" t="s">
        <v>17</v>
      </c>
      <c r="K385" t="s">
        <v>32</v>
      </c>
      <c r="L385" t="s">
        <v>5</v>
      </c>
      <c r="M385">
        <v>15.552</v>
      </c>
      <c r="N385">
        <v>3</v>
      </c>
      <c r="O385">
        <v>0.2</v>
      </c>
      <c r="P385">
        <v>5.4432</v>
      </c>
      <c r="Q385" s="1">
        <v>0.35</v>
      </c>
      <c r="R385" t="s">
        <v>4</v>
      </c>
      <c r="S385" t="s">
        <v>408</v>
      </c>
    </row>
    <row r="386" spans="1:19" x14ac:dyDescent="0.3">
      <c r="A386">
        <v>1029</v>
      </c>
      <c r="B386" t="s">
        <v>1136</v>
      </c>
      <c r="C386">
        <v>2014</v>
      </c>
      <c r="D386" t="s">
        <v>425</v>
      </c>
      <c r="E386" t="s">
        <v>13</v>
      </c>
      <c r="F386" t="s">
        <v>147</v>
      </c>
      <c r="G386" t="s">
        <v>123</v>
      </c>
      <c r="H386" t="s">
        <v>48</v>
      </c>
      <c r="I386" t="s">
        <v>1137</v>
      </c>
      <c r="J386" t="s">
        <v>17</v>
      </c>
      <c r="K386" t="s">
        <v>32</v>
      </c>
      <c r="L386" t="s">
        <v>19</v>
      </c>
      <c r="M386">
        <v>177.2</v>
      </c>
      <c r="N386">
        <v>5</v>
      </c>
      <c r="O386">
        <v>0</v>
      </c>
      <c r="P386">
        <v>83.284000000000006</v>
      </c>
      <c r="Q386" s="1">
        <v>0.47</v>
      </c>
      <c r="R386" t="s">
        <v>4</v>
      </c>
      <c r="S386" t="s">
        <v>394</v>
      </c>
    </row>
    <row r="387" spans="1:19" x14ac:dyDescent="0.3">
      <c r="A387">
        <v>1038</v>
      </c>
      <c r="B387" t="s">
        <v>1138</v>
      </c>
      <c r="C387">
        <v>2015</v>
      </c>
      <c r="D387" t="s">
        <v>396</v>
      </c>
      <c r="E387" t="s">
        <v>6</v>
      </c>
      <c r="F387" t="s">
        <v>14</v>
      </c>
      <c r="G387" t="s">
        <v>15</v>
      </c>
      <c r="H387" t="s">
        <v>16</v>
      </c>
      <c r="I387" t="s">
        <v>1139</v>
      </c>
      <c r="J387" t="s">
        <v>17</v>
      </c>
      <c r="K387" t="s">
        <v>28</v>
      </c>
      <c r="L387" t="s">
        <v>53</v>
      </c>
      <c r="M387">
        <v>36.624000000000002</v>
      </c>
      <c r="N387">
        <v>3</v>
      </c>
      <c r="O387">
        <v>0.2</v>
      </c>
      <c r="P387">
        <v>13.734</v>
      </c>
      <c r="Q387" s="1">
        <v>0.375</v>
      </c>
      <c r="R387" t="s">
        <v>4</v>
      </c>
      <c r="S387" t="s">
        <v>408</v>
      </c>
    </row>
    <row r="388" spans="1:19" x14ac:dyDescent="0.3">
      <c r="A388">
        <v>1046</v>
      </c>
      <c r="B388" t="s">
        <v>1140</v>
      </c>
      <c r="C388">
        <v>2017</v>
      </c>
      <c r="D388" t="s">
        <v>399</v>
      </c>
      <c r="E388" t="s">
        <v>35</v>
      </c>
      <c r="F388" t="s">
        <v>242</v>
      </c>
      <c r="G388" t="s">
        <v>56</v>
      </c>
      <c r="H388" t="s">
        <v>38</v>
      </c>
      <c r="I388" t="s">
        <v>1141</v>
      </c>
      <c r="J388" t="s">
        <v>10</v>
      </c>
      <c r="K388" t="s">
        <v>12</v>
      </c>
      <c r="L388" t="s">
        <v>19</v>
      </c>
      <c r="M388">
        <v>254.60400000000001</v>
      </c>
      <c r="N388">
        <v>14</v>
      </c>
      <c r="O388">
        <v>0.3</v>
      </c>
      <c r="P388">
        <v>-18.186</v>
      </c>
      <c r="Q388" s="1">
        <v>-7.1428571428571397E-2</v>
      </c>
      <c r="R388" t="s">
        <v>401</v>
      </c>
      <c r="S388" t="s">
        <v>402</v>
      </c>
    </row>
    <row r="389" spans="1:19" x14ac:dyDescent="0.3">
      <c r="A389">
        <v>1047</v>
      </c>
      <c r="B389" t="s">
        <v>1142</v>
      </c>
      <c r="C389">
        <v>2016</v>
      </c>
      <c r="D389" t="s">
        <v>447</v>
      </c>
      <c r="E389" t="s">
        <v>6</v>
      </c>
      <c r="F389" t="s">
        <v>170</v>
      </c>
      <c r="G389" t="s">
        <v>21</v>
      </c>
      <c r="H389" t="s">
        <v>9</v>
      </c>
      <c r="I389" t="s">
        <v>1143</v>
      </c>
      <c r="J389" t="s">
        <v>26</v>
      </c>
      <c r="K389" t="s">
        <v>27</v>
      </c>
      <c r="L389" t="s">
        <v>19</v>
      </c>
      <c r="M389">
        <v>1363.96</v>
      </c>
      <c r="N389">
        <v>5</v>
      </c>
      <c r="O389">
        <v>0.2</v>
      </c>
      <c r="P389">
        <v>85.247500000000002</v>
      </c>
      <c r="Q389" s="1">
        <v>6.25E-2</v>
      </c>
      <c r="R389" t="s">
        <v>4</v>
      </c>
      <c r="S389" t="s">
        <v>408</v>
      </c>
    </row>
    <row r="390" spans="1:19" x14ac:dyDescent="0.3">
      <c r="A390">
        <v>1054</v>
      </c>
      <c r="B390" t="s">
        <v>1144</v>
      </c>
      <c r="C390">
        <v>2015</v>
      </c>
      <c r="D390" t="s">
        <v>406</v>
      </c>
      <c r="E390" t="s">
        <v>35</v>
      </c>
      <c r="F390" t="s">
        <v>66</v>
      </c>
      <c r="G390" t="s">
        <v>67</v>
      </c>
      <c r="H390" t="s">
        <v>48</v>
      </c>
      <c r="I390" t="s">
        <v>1145</v>
      </c>
      <c r="J390" t="s">
        <v>17</v>
      </c>
      <c r="K390" t="s">
        <v>25</v>
      </c>
      <c r="L390" t="s">
        <v>19</v>
      </c>
      <c r="M390">
        <v>11.16</v>
      </c>
      <c r="N390">
        <v>2</v>
      </c>
      <c r="O390">
        <v>0</v>
      </c>
      <c r="P390">
        <v>4.3524000000000003</v>
      </c>
      <c r="Q390" s="1">
        <v>0.39</v>
      </c>
      <c r="R390" t="s">
        <v>4</v>
      </c>
      <c r="S390" t="s">
        <v>394</v>
      </c>
    </row>
    <row r="391" spans="1:19" x14ac:dyDescent="0.3">
      <c r="A391">
        <v>1058</v>
      </c>
      <c r="B391" t="s">
        <v>1146</v>
      </c>
      <c r="C391">
        <v>2017</v>
      </c>
      <c r="D391" t="s">
        <v>410</v>
      </c>
      <c r="E391" t="s">
        <v>13</v>
      </c>
      <c r="F391" t="s">
        <v>134</v>
      </c>
      <c r="G391" t="s">
        <v>15</v>
      </c>
      <c r="H391" t="s">
        <v>16</v>
      </c>
      <c r="I391" t="s">
        <v>1147</v>
      </c>
      <c r="J391" t="s">
        <v>17</v>
      </c>
      <c r="K391" t="s">
        <v>28</v>
      </c>
      <c r="L391" t="s">
        <v>19</v>
      </c>
      <c r="M391">
        <v>19.936</v>
      </c>
      <c r="N391">
        <v>4</v>
      </c>
      <c r="O391">
        <v>0.2</v>
      </c>
      <c r="P391">
        <v>7.2267999999999999</v>
      </c>
      <c r="Q391" s="1">
        <v>0.36249999999999999</v>
      </c>
      <c r="R391" t="s">
        <v>4</v>
      </c>
      <c r="S391" t="s">
        <v>408</v>
      </c>
    </row>
    <row r="392" spans="1:19" x14ac:dyDescent="0.3">
      <c r="A392">
        <v>1060</v>
      </c>
      <c r="B392" t="s">
        <v>1148</v>
      </c>
      <c r="C392">
        <v>2016</v>
      </c>
      <c r="D392" t="s">
        <v>392</v>
      </c>
      <c r="E392" t="s">
        <v>35</v>
      </c>
      <c r="F392" t="s">
        <v>46</v>
      </c>
      <c r="G392" t="s">
        <v>47</v>
      </c>
      <c r="H392" t="s">
        <v>48</v>
      </c>
      <c r="I392" t="s">
        <v>1149</v>
      </c>
      <c r="J392" t="s">
        <v>17</v>
      </c>
      <c r="K392" t="s">
        <v>68</v>
      </c>
      <c r="L392" t="s">
        <v>19</v>
      </c>
      <c r="M392">
        <v>4.4160000000000004</v>
      </c>
      <c r="N392">
        <v>3</v>
      </c>
      <c r="O392">
        <v>0.2</v>
      </c>
      <c r="P392">
        <v>1.6008</v>
      </c>
      <c r="Q392" s="1">
        <v>0.36249999999999999</v>
      </c>
      <c r="R392" t="s">
        <v>4</v>
      </c>
      <c r="S392" t="s">
        <v>408</v>
      </c>
    </row>
    <row r="393" spans="1:19" x14ac:dyDescent="0.3">
      <c r="A393">
        <v>1061</v>
      </c>
      <c r="B393" t="s">
        <v>1150</v>
      </c>
      <c r="C393">
        <v>2015</v>
      </c>
      <c r="D393" t="s">
        <v>447</v>
      </c>
      <c r="E393" t="s">
        <v>6</v>
      </c>
      <c r="F393" t="s">
        <v>52</v>
      </c>
      <c r="G393" t="s">
        <v>37</v>
      </c>
      <c r="H393" t="s">
        <v>38</v>
      </c>
      <c r="I393" t="s">
        <v>751</v>
      </c>
      <c r="J393" t="s">
        <v>10</v>
      </c>
      <c r="K393" t="s">
        <v>12</v>
      </c>
      <c r="L393" t="s">
        <v>19</v>
      </c>
      <c r="M393">
        <v>107.77200000000001</v>
      </c>
      <c r="N393">
        <v>2</v>
      </c>
      <c r="O393">
        <v>0.3</v>
      </c>
      <c r="P393">
        <v>-29.252400000000002</v>
      </c>
      <c r="Q393" s="1">
        <v>-0.27142857142857102</v>
      </c>
      <c r="R393" t="s">
        <v>401</v>
      </c>
      <c r="S393" t="s">
        <v>402</v>
      </c>
    </row>
    <row r="394" spans="1:19" x14ac:dyDescent="0.3">
      <c r="A394">
        <v>1062</v>
      </c>
      <c r="B394" t="s">
        <v>1151</v>
      </c>
      <c r="C394">
        <v>2015</v>
      </c>
      <c r="D394" t="s">
        <v>406</v>
      </c>
      <c r="E394" t="s">
        <v>13</v>
      </c>
      <c r="F394" t="s">
        <v>235</v>
      </c>
      <c r="G394" t="s">
        <v>95</v>
      </c>
      <c r="H394" t="s">
        <v>48</v>
      </c>
      <c r="I394" t="s">
        <v>1152</v>
      </c>
      <c r="J394" t="s">
        <v>17</v>
      </c>
      <c r="K394" t="s">
        <v>29</v>
      </c>
      <c r="L394" t="s">
        <v>19</v>
      </c>
      <c r="M394">
        <v>45.216000000000001</v>
      </c>
      <c r="N394">
        <v>3</v>
      </c>
      <c r="O394">
        <v>0.2</v>
      </c>
      <c r="P394">
        <v>4.5216000000000003</v>
      </c>
      <c r="Q394" s="1">
        <v>0.1</v>
      </c>
      <c r="R394" t="s">
        <v>4</v>
      </c>
      <c r="S394" t="s">
        <v>408</v>
      </c>
    </row>
    <row r="395" spans="1:19" x14ac:dyDescent="0.3">
      <c r="A395">
        <v>1068</v>
      </c>
      <c r="B395" t="s">
        <v>1153</v>
      </c>
      <c r="C395">
        <v>2016</v>
      </c>
      <c r="D395" t="s">
        <v>399</v>
      </c>
      <c r="E395" t="s">
        <v>6</v>
      </c>
      <c r="F395" t="s">
        <v>43</v>
      </c>
      <c r="G395" t="s">
        <v>15</v>
      </c>
      <c r="H395" t="s">
        <v>16</v>
      </c>
      <c r="I395" t="s">
        <v>462</v>
      </c>
      <c r="J395" t="s">
        <v>10</v>
      </c>
      <c r="K395" t="s">
        <v>12</v>
      </c>
      <c r="L395" t="s">
        <v>53</v>
      </c>
      <c r="M395">
        <v>194.84800000000001</v>
      </c>
      <c r="N395">
        <v>4</v>
      </c>
      <c r="O395">
        <v>0.2</v>
      </c>
      <c r="P395">
        <v>12.178000000000001</v>
      </c>
      <c r="Q395" s="1">
        <v>6.25E-2</v>
      </c>
      <c r="R395" t="s">
        <v>4</v>
      </c>
      <c r="S395" t="s">
        <v>408</v>
      </c>
    </row>
    <row r="396" spans="1:19" x14ac:dyDescent="0.3">
      <c r="A396">
        <v>1069</v>
      </c>
      <c r="B396" t="s">
        <v>1154</v>
      </c>
      <c r="C396">
        <v>2017</v>
      </c>
      <c r="D396" t="s">
        <v>428</v>
      </c>
      <c r="E396" t="s">
        <v>6</v>
      </c>
      <c r="F396" t="s">
        <v>243</v>
      </c>
      <c r="G396" t="s">
        <v>37</v>
      </c>
      <c r="H396" t="s">
        <v>38</v>
      </c>
      <c r="I396" t="s">
        <v>1155</v>
      </c>
      <c r="J396" t="s">
        <v>17</v>
      </c>
      <c r="K396" t="s">
        <v>101</v>
      </c>
      <c r="L396" t="s">
        <v>5</v>
      </c>
      <c r="M396">
        <v>1.744</v>
      </c>
      <c r="N396">
        <v>1</v>
      </c>
      <c r="O396">
        <v>0.2</v>
      </c>
      <c r="P396">
        <v>-0.3488</v>
      </c>
      <c r="Q396" s="1">
        <v>-0.2</v>
      </c>
      <c r="R396" t="s">
        <v>401</v>
      </c>
      <c r="S396" t="s">
        <v>408</v>
      </c>
    </row>
    <row r="397" spans="1:19" x14ac:dyDescent="0.3">
      <c r="A397">
        <v>1070</v>
      </c>
      <c r="B397" t="s">
        <v>1156</v>
      </c>
      <c r="C397">
        <v>2015</v>
      </c>
      <c r="D397" t="s">
        <v>425</v>
      </c>
      <c r="E397" t="s">
        <v>35</v>
      </c>
      <c r="F397" t="s">
        <v>46</v>
      </c>
      <c r="G397" t="s">
        <v>47</v>
      </c>
      <c r="H397" t="s">
        <v>48</v>
      </c>
      <c r="I397" t="s">
        <v>1157</v>
      </c>
      <c r="J397" t="s">
        <v>17</v>
      </c>
      <c r="K397" t="s">
        <v>28</v>
      </c>
      <c r="L397" t="s">
        <v>19</v>
      </c>
      <c r="M397">
        <v>25.175999999999998</v>
      </c>
      <c r="N397">
        <v>4</v>
      </c>
      <c r="O397">
        <v>0.7</v>
      </c>
      <c r="P397">
        <v>-18.462399999999999</v>
      </c>
      <c r="Q397" s="1">
        <v>-0.73333333333333295</v>
      </c>
      <c r="R397" t="s">
        <v>401</v>
      </c>
      <c r="S397" t="s">
        <v>402</v>
      </c>
    </row>
    <row r="398" spans="1:19" x14ac:dyDescent="0.3">
      <c r="A398">
        <v>1074</v>
      </c>
      <c r="B398" t="s">
        <v>1158</v>
      </c>
      <c r="C398">
        <v>2016</v>
      </c>
      <c r="D398" t="s">
        <v>392</v>
      </c>
      <c r="E398" t="s">
        <v>6</v>
      </c>
      <c r="F398" t="s">
        <v>195</v>
      </c>
      <c r="G398" t="s">
        <v>72</v>
      </c>
      <c r="H398" t="s">
        <v>16</v>
      </c>
      <c r="I398" t="s">
        <v>1159</v>
      </c>
      <c r="J398" t="s">
        <v>17</v>
      </c>
      <c r="K398" t="s">
        <v>28</v>
      </c>
      <c r="L398" t="s">
        <v>19</v>
      </c>
      <c r="M398">
        <v>6.27</v>
      </c>
      <c r="N398">
        <v>5</v>
      </c>
      <c r="O398">
        <v>0.7</v>
      </c>
      <c r="P398">
        <v>-4.5979999999999999</v>
      </c>
      <c r="Q398" s="1">
        <v>-0.73333333333333395</v>
      </c>
      <c r="R398" t="s">
        <v>401</v>
      </c>
      <c r="S398" t="s">
        <v>402</v>
      </c>
    </row>
    <row r="399" spans="1:19" x14ac:dyDescent="0.3">
      <c r="A399">
        <v>1078</v>
      </c>
      <c r="B399" t="s">
        <v>1160</v>
      </c>
      <c r="C399">
        <v>2017</v>
      </c>
      <c r="D399" t="s">
        <v>428</v>
      </c>
      <c r="E399" t="s">
        <v>6</v>
      </c>
      <c r="F399" t="s">
        <v>33</v>
      </c>
      <c r="G399" t="s">
        <v>34</v>
      </c>
      <c r="H399" t="s">
        <v>16</v>
      </c>
      <c r="I399" t="s">
        <v>1161</v>
      </c>
      <c r="J399" t="s">
        <v>17</v>
      </c>
      <c r="K399" t="s">
        <v>29</v>
      </c>
      <c r="L399" t="s">
        <v>5</v>
      </c>
      <c r="M399">
        <v>119.96</v>
      </c>
      <c r="N399">
        <v>2</v>
      </c>
      <c r="O399">
        <v>0</v>
      </c>
      <c r="P399">
        <v>33.588799999999999</v>
      </c>
      <c r="Q399" s="1">
        <v>0.28000000000000003</v>
      </c>
      <c r="R399" t="s">
        <v>4</v>
      </c>
      <c r="S399" t="s">
        <v>394</v>
      </c>
    </row>
    <row r="400" spans="1:19" x14ac:dyDescent="0.3">
      <c r="A400">
        <v>1083</v>
      </c>
      <c r="B400" t="s">
        <v>1162</v>
      </c>
      <c r="C400">
        <v>2016</v>
      </c>
      <c r="D400" t="s">
        <v>447</v>
      </c>
      <c r="E400" t="s">
        <v>6</v>
      </c>
      <c r="F400" t="s">
        <v>244</v>
      </c>
      <c r="G400" t="s">
        <v>67</v>
      </c>
      <c r="H400" t="s">
        <v>48</v>
      </c>
      <c r="I400" t="s">
        <v>1163</v>
      </c>
      <c r="J400" t="s">
        <v>10</v>
      </c>
      <c r="K400" t="s">
        <v>22</v>
      </c>
      <c r="L400" t="s">
        <v>19</v>
      </c>
      <c r="M400">
        <v>836.59199999999998</v>
      </c>
      <c r="N400">
        <v>8</v>
      </c>
      <c r="O400">
        <v>0.4</v>
      </c>
      <c r="P400">
        <v>-264.92079999999999</v>
      </c>
      <c r="Q400" s="1">
        <v>-0.31666666666666698</v>
      </c>
      <c r="R400" t="s">
        <v>401</v>
      </c>
      <c r="S400" t="s">
        <v>402</v>
      </c>
    </row>
    <row r="401" spans="1:19" x14ac:dyDescent="0.3">
      <c r="A401">
        <v>1087</v>
      </c>
      <c r="B401" t="s">
        <v>1164</v>
      </c>
      <c r="C401">
        <v>2016</v>
      </c>
      <c r="D401" t="s">
        <v>420</v>
      </c>
      <c r="E401" t="s">
        <v>6</v>
      </c>
      <c r="F401" t="s">
        <v>164</v>
      </c>
      <c r="G401" t="s">
        <v>93</v>
      </c>
      <c r="H401" t="s">
        <v>38</v>
      </c>
      <c r="I401" t="s">
        <v>1165</v>
      </c>
      <c r="J401" t="s">
        <v>17</v>
      </c>
      <c r="K401" t="s">
        <v>32</v>
      </c>
      <c r="L401" t="s">
        <v>158</v>
      </c>
      <c r="M401">
        <v>6.48</v>
      </c>
      <c r="N401">
        <v>1</v>
      </c>
      <c r="O401">
        <v>0</v>
      </c>
      <c r="P401">
        <v>3.1103999999999998</v>
      </c>
      <c r="Q401" s="1">
        <v>0.48</v>
      </c>
      <c r="R401" t="s">
        <v>4</v>
      </c>
      <c r="S401" t="s">
        <v>394</v>
      </c>
    </row>
    <row r="402" spans="1:19" x14ac:dyDescent="0.3">
      <c r="A402">
        <v>1090</v>
      </c>
      <c r="B402" t="s">
        <v>1166</v>
      </c>
      <c r="C402">
        <v>2017</v>
      </c>
      <c r="D402" t="s">
        <v>396</v>
      </c>
      <c r="E402" t="s">
        <v>13</v>
      </c>
      <c r="F402" t="s">
        <v>115</v>
      </c>
      <c r="G402" t="s">
        <v>31</v>
      </c>
      <c r="H402" t="s">
        <v>9</v>
      </c>
      <c r="I402" t="s">
        <v>666</v>
      </c>
      <c r="J402" t="s">
        <v>10</v>
      </c>
      <c r="K402" t="s">
        <v>24</v>
      </c>
      <c r="L402" t="s">
        <v>19</v>
      </c>
      <c r="M402">
        <v>31.984000000000002</v>
      </c>
      <c r="N402">
        <v>2</v>
      </c>
      <c r="O402">
        <v>0.2</v>
      </c>
      <c r="P402">
        <v>1.9990000000000001</v>
      </c>
      <c r="Q402" s="1">
        <v>6.25E-2</v>
      </c>
      <c r="R402" t="s">
        <v>4</v>
      </c>
      <c r="S402" t="s">
        <v>408</v>
      </c>
    </row>
    <row r="403" spans="1:19" x14ac:dyDescent="0.3">
      <c r="A403">
        <v>1092</v>
      </c>
      <c r="B403" t="s">
        <v>1167</v>
      </c>
      <c r="C403">
        <v>2015</v>
      </c>
      <c r="D403" t="s">
        <v>410</v>
      </c>
      <c r="E403" t="s">
        <v>6</v>
      </c>
      <c r="F403" t="s">
        <v>134</v>
      </c>
      <c r="G403" t="s">
        <v>15</v>
      </c>
      <c r="H403" t="s">
        <v>16</v>
      </c>
      <c r="I403" t="s">
        <v>1168</v>
      </c>
      <c r="J403" t="s">
        <v>17</v>
      </c>
      <c r="K403" t="s">
        <v>25</v>
      </c>
      <c r="L403" t="s">
        <v>19</v>
      </c>
      <c r="M403">
        <v>120.15</v>
      </c>
      <c r="N403">
        <v>9</v>
      </c>
      <c r="O403">
        <v>0</v>
      </c>
      <c r="P403">
        <v>33.642000000000003</v>
      </c>
      <c r="Q403" s="1">
        <v>0.28000000000000003</v>
      </c>
      <c r="R403" t="s">
        <v>4</v>
      </c>
      <c r="S403" t="s">
        <v>394</v>
      </c>
    </row>
    <row r="404" spans="1:19" x14ac:dyDescent="0.3">
      <c r="A404">
        <v>1098</v>
      </c>
      <c r="B404" t="s">
        <v>1169</v>
      </c>
      <c r="C404">
        <v>2014</v>
      </c>
      <c r="D404" t="s">
        <v>396</v>
      </c>
      <c r="E404" t="s">
        <v>13</v>
      </c>
      <c r="F404" t="s">
        <v>14</v>
      </c>
      <c r="G404" t="s">
        <v>15</v>
      </c>
      <c r="H404" t="s">
        <v>16</v>
      </c>
      <c r="I404" t="s">
        <v>1170</v>
      </c>
      <c r="J404" t="s">
        <v>10</v>
      </c>
      <c r="K404" t="s">
        <v>22</v>
      </c>
      <c r="L404" t="s">
        <v>53</v>
      </c>
      <c r="M404">
        <v>447.84</v>
      </c>
      <c r="N404">
        <v>5</v>
      </c>
      <c r="O404">
        <v>0.2</v>
      </c>
      <c r="P404">
        <v>11.196</v>
      </c>
      <c r="Q404" s="1">
        <v>2.5000000000000001E-2</v>
      </c>
      <c r="R404" t="s">
        <v>4</v>
      </c>
      <c r="S404" t="s">
        <v>408</v>
      </c>
    </row>
    <row r="405" spans="1:19" x14ac:dyDescent="0.3">
      <c r="A405">
        <v>1099</v>
      </c>
      <c r="B405" t="s">
        <v>1171</v>
      </c>
      <c r="C405">
        <v>2016</v>
      </c>
      <c r="D405" t="s">
        <v>396</v>
      </c>
      <c r="E405" t="s">
        <v>35</v>
      </c>
      <c r="F405" t="s">
        <v>43</v>
      </c>
      <c r="G405" t="s">
        <v>15</v>
      </c>
      <c r="H405" t="s">
        <v>16</v>
      </c>
      <c r="I405" t="s">
        <v>1172</v>
      </c>
      <c r="J405" t="s">
        <v>17</v>
      </c>
      <c r="K405" t="s">
        <v>25</v>
      </c>
      <c r="L405" t="s">
        <v>53</v>
      </c>
      <c r="M405">
        <v>7.04</v>
      </c>
      <c r="N405">
        <v>4</v>
      </c>
      <c r="O405">
        <v>0</v>
      </c>
      <c r="P405">
        <v>2.0415999999999999</v>
      </c>
      <c r="Q405" s="1">
        <v>0.28999999999999998</v>
      </c>
      <c r="R405" t="s">
        <v>4</v>
      </c>
      <c r="S405" t="s">
        <v>394</v>
      </c>
    </row>
    <row r="406" spans="1:19" x14ac:dyDescent="0.3">
      <c r="A406">
        <v>1114</v>
      </c>
      <c r="B406" t="s">
        <v>1173</v>
      </c>
      <c r="C406">
        <v>2017</v>
      </c>
      <c r="D406" t="s">
        <v>410</v>
      </c>
      <c r="E406" t="s">
        <v>6</v>
      </c>
      <c r="F406" t="s">
        <v>247</v>
      </c>
      <c r="G406" t="s">
        <v>15</v>
      </c>
      <c r="H406" t="s">
        <v>16</v>
      </c>
      <c r="I406" t="s">
        <v>1174</v>
      </c>
      <c r="J406" t="s">
        <v>17</v>
      </c>
      <c r="K406" t="s">
        <v>28</v>
      </c>
      <c r="L406" t="s">
        <v>5</v>
      </c>
      <c r="M406">
        <v>46.671999999999997</v>
      </c>
      <c r="N406">
        <v>2</v>
      </c>
      <c r="O406">
        <v>0.2</v>
      </c>
      <c r="P406">
        <v>16.3352</v>
      </c>
      <c r="Q406" s="1">
        <v>0.35</v>
      </c>
      <c r="R406" t="s">
        <v>4</v>
      </c>
      <c r="S406" t="s">
        <v>408</v>
      </c>
    </row>
    <row r="407" spans="1:19" x14ac:dyDescent="0.3">
      <c r="A407">
        <v>1117</v>
      </c>
      <c r="B407" t="s">
        <v>1175</v>
      </c>
      <c r="C407">
        <v>2016</v>
      </c>
      <c r="D407" t="s">
        <v>425</v>
      </c>
      <c r="E407" t="s">
        <v>13</v>
      </c>
      <c r="F407" t="s">
        <v>43</v>
      </c>
      <c r="G407" t="s">
        <v>15</v>
      </c>
      <c r="H407" t="s">
        <v>16</v>
      </c>
      <c r="I407" t="s">
        <v>1176</v>
      </c>
      <c r="J407" t="s">
        <v>17</v>
      </c>
      <c r="K407" t="s">
        <v>18</v>
      </c>
      <c r="L407" t="s">
        <v>5</v>
      </c>
      <c r="M407">
        <v>6.3</v>
      </c>
      <c r="N407">
        <v>2</v>
      </c>
      <c r="O407">
        <v>0</v>
      </c>
      <c r="P407">
        <v>3.024</v>
      </c>
      <c r="Q407" s="1">
        <v>0.48</v>
      </c>
      <c r="R407" t="s">
        <v>4</v>
      </c>
      <c r="S407" t="s">
        <v>394</v>
      </c>
    </row>
    <row r="408" spans="1:19" x14ac:dyDescent="0.3">
      <c r="A408">
        <v>1118</v>
      </c>
      <c r="B408" t="s">
        <v>1177</v>
      </c>
      <c r="C408">
        <v>2015</v>
      </c>
      <c r="D408" t="s">
        <v>428</v>
      </c>
      <c r="E408" t="s">
        <v>6</v>
      </c>
      <c r="F408" t="s">
        <v>248</v>
      </c>
      <c r="G408" t="s">
        <v>157</v>
      </c>
      <c r="H408" t="s">
        <v>9</v>
      </c>
      <c r="I408" t="s">
        <v>1178</v>
      </c>
      <c r="J408" t="s">
        <v>17</v>
      </c>
      <c r="K408" t="s">
        <v>32</v>
      </c>
      <c r="L408" t="s">
        <v>19</v>
      </c>
      <c r="M408">
        <v>279.89999999999998</v>
      </c>
      <c r="N408">
        <v>5</v>
      </c>
      <c r="O408">
        <v>0</v>
      </c>
      <c r="P408">
        <v>137.15100000000001</v>
      </c>
      <c r="Q408" s="1">
        <v>0.49</v>
      </c>
      <c r="R408" t="s">
        <v>4</v>
      </c>
      <c r="S408" t="s">
        <v>394</v>
      </c>
    </row>
    <row r="409" spans="1:19" x14ac:dyDescent="0.3">
      <c r="A409">
        <v>1122</v>
      </c>
      <c r="B409" t="s">
        <v>1179</v>
      </c>
      <c r="C409">
        <v>2014</v>
      </c>
      <c r="D409" t="s">
        <v>430</v>
      </c>
      <c r="E409" t="s">
        <v>6</v>
      </c>
      <c r="F409" t="s">
        <v>249</v>
      </c>
      <c r="G409" t="s">
        <v>186</v>
      </c>
      <c r="H409" t="s">
        <v>9</v>
      </c>
      <c r="I409" t="s">
        <v>1180</v>
      </c>
      <c r="J409" t="s">
        <v>26</v>
      </c>
      <c r="K409" t="s">
        <v>27</v>
      </c>
      <c r="L409" t="s">
        <v>19</v>
      </c>
      <c r="M409">
        <v>699.93</v>
      </c>
      <c r="N409">
        <v>7</v>
      </c>
      <c r="O409">
        <v>0</v>
      </c>
      <c r="P409">
        <v>181.98179999999999</v>
      </c>
      <c r="Q409" s="1">
        <v>0.26</v>
      </c>
      <c r="R409" t="s">
        <v>4</v>
      </c>
      <c r="S409" t="s">
        <v>394</v>
      </c>
    </row>
    <row r="410" spans="1:19" x14ac:dyDescent="0.3">
      <c r="A410">
        <v>1130</v>
      </c>
      <c r="B410" t="s">
        <v>1181</v>
      </c>
      <c r="C410">
        <v>2016</v>
      </c>
      <c r="D410" t="s">
        <v>406</v>
      </c>
      <c r="E410" t="s">
        <v>6</v>
      </c>
      <c r="F410" t="s">
        <v>73</v>
      </c>
      <c r="G410" t="s">
        <v>74</v>
      </c>
      <c r="H410" t="s">
        <v>9</v>
      </c>
      <c r="I410" t="s">
        <v>1182</v>
      </c>
      <c r="J410" t="s">
        <v>10</v>
      </c>
      <c r="K410" t="s">
        <v>22</v>
      </c>
      <c r="L410" t="s">
        <v>19</v>
      </c>
      <c r="M410">
        <v>343.92</v>
      </c>
      <c r="N410">
        <v>4</v>
      </c>
      <c r="O410">
        <v>0</v>
      </c>
      <c r="P410">
        <v>75.662400000000005</v>
      </c>
      <c r="Q410" s="1">
        <v>0.22</v>
      </c>
      <c r="R410" t="s">
        <v>4</v>
      </c>
      <c r="S410" t="s">
        <v>394</v>
      </c>
    </row>
    <row r="411" spans="1:19" x14ac:dyDescent="0.3">
      <c r="A411">
        <v>1133</v>
      </c>
      <c r="B411" t="s">
        <v>1183</v>
      </c>
      <c r="C411">
        <v>2016</v>
      </c>
      <c r="D411" t="s">
        <v>410</v>
      </c>
      <c r="E411" t="s">
        <v>13</v>
      </c>
      <c r="F411" t="s">
        <v>250</v>
      </c>
      <c r="G411" t="s">
        <v>15</v>
      </c>
      <c r="H411" t="s">
        <v>16</v>
      </c>
      <c r="I411" t="s">
        <v>1184</v>
      </c>
      <c r="J411" t="s">
        <v>17</v>
      </c>
      <c r="K411" t="s">
        <v>32</v>
      </c>
      <c r="L411" t="s">
        <v>53</v>
      </c>
      <c r="M411">
        <v>19.440000000000001</v>
      </c>
      <c r="N411">
        <v>3</v>
      </c>
      <c r="O411">
        <v>0</v>
      </c>
      <c r="P411">
        <v>9.3312000000000008</v>
      </c>
      <c r="Q411" s="1">
        <v>0.48</v>
      </c>
      <c r="R411" t="s">
        <v>4</v>
      </c>
      <c r="S411" t="s">
        <v>394</v>
      </c>
    </row>
    <row r="412" spans="1:19" x14ac:dyDescent="0.3">
      <c r="A412">
        <v>1134</v>
      </c>
      <c r="B412" t="s">
        <v>1185</v>
      </c>
      <c r="C412">
        <v>2016</v>
      </c>
      <c r="D412" t="s">
        <v>396</v>
      </c>
      <c r="E412" t="s">
        <v>35</v>
      </c>
      <c r="F412" t="s">
        <v>46</v>
      </c>
      <c r="G412" t="s">
        <v>47</v>
      </c>
      <c r="H412" t="s">
        <v>48</v>
      </c>
      <c r="I412" t="s">
        <v>443</v>
      </c>
      <c r="J412" t="s">
        <v>17</v>
      </c>
      <c r="K412" t="s">
        <v>23</v>
      </c>
      <c r="L412" t="s">
        <v>19</v>
      </c>
      <c r="M412">
        <v>124.608</v>
      </c>
      <c r="N412">
        <v>4</v>
      </c>
      <c r="O412">
        <v>0.2</v>
      </c>
      <c r="P412">
        <v>-23.364000000000001</v>
      </c>
      <c r="Q412" s="1">
        <v>-0.1875</v>
      </c>
      <c r="R412" t="s">
        <v>401</v>
      </c>
      <c r="S412" t="s">
        <v>408</v>
      </c>
    </row>
    <row r="413" spans="1:19" x14ac:dyDescent="0.3">
      <c r="A413">
        <v>1142</v>
      </c>
      <c r="B413" t="s">
        <v>1186</v>
      </c>
      <c r="C413">
        <v>2014</v>
      </c>
      <c r="D413" t="s">
        <v>428</v>
      </c>
      <c r="E413" t="s">
        <v>6</v>
      </c>
      <c r="F413" t="s">
        <v>14</v>
      </c>
      <c r="G413" t="s">
        <v>15</v>
      </c>
      <c r="H413" t="s">
        <v>16</v>
      </c>
      <c r="I413" t="s">
        <v>1089</v>
      </c>
      <c r="J413" t="s">
        <v>10</v>
      </c>
      <c r="K413" t="s">
        <v>24</v>
      </c>
      <c r="L413" t="s">
        <v>19</v>
      </c>
      <c r="M413">
        <v>204.6</v>
      </c>
      <c r="N413">
        <v>2</v>
      </c>
      <c r="O413">
        <v>0</v>
      </c>
      <c r="P413">
        <v>53.195999999999998</v>
      </c>
      <c r="Q413" s="1">
        <v>0.26</v>
      </c>
      <c r="R413" t="s">
        <v>4</v>
      </c>
      <c r="S413" t="s">
        <v>394</v>
      </c>
    </row>
    <row r="414" spans="1:19" x14ac:dyDescent="0.3">
      <c r="A414">
        <v>1152</v>
      </c>
      <c r="B414" t="s">
        <v>1187</v>
      </c>
      <c r="C414">
        <v>2015</v>
      </c>
      <c r="D414" t="s">
        <v>417</v>
      </c>
      <c r="E414" t="s">
        <v>13</v>
      </c>
      <c r="F414" t="s">
        <v>251</v>
      </c>
      <c r="G414" t="s">
        <v>95</v>
      </c>
      <c r="H414" t="s">
        <v>48</v>
      </c>
      <c r="I414" t="s">
        <v>1188</v>
      </c>
      <c r="J414" t="s">
        <v>10</v>
      </c>
      <c r="K414" t="s">
        <v>24</v>
      </c>
      <c r="L414" t="s">
        <v>19</v>
      </c>
      <c r="M414">
        <v>8.3520000000000003</v>
      </c>
      <c r="N414">
        <v>6</v>
      </c>
      <c r="O414">
        <v>0.2</v>
      </c>
      <c r="P414">
        <v>1.2527999999999999</v>
      </c>
      <c r="Q414" s="1">
        <v>0.15</v>
      </c>
      <c r="R414" t="s">
        <v>4</v>
      </c>
      <c r="S414" t="s">
        <v>408</v>
      </c>
    </row>
    <row r="415" spans="1:19" x14ac:dyDescent="0.3">
      <c r="A415">
        <v>1153</v>
      </c>
      <c r="B415" t="s">
        <v>1189</v>
      </c>
      <c r="C415">
        <v>2016</v>
      </c>
      <c r="D415" t="s">
        <v>410</v>
      </c>
      <c r="E415" t="s">
        <v>13</v>
      </c>
      <c r="F415" t="s">
        <v>252</v>
      </c>
      <c r="G415" t="s">
        <v>167</v>
      </c>
      <c r="H415" t="s">
        <v>16</v>
      </c>
      <c r="I415" t="s">
        <v>1190</v>
      </c>
      <c r="J415" t="s">
        <v>17</v>
      </c>
      <c r="K415" t="s">
        <v>25</v>
      </c>
      <c r="L415" t="s">
        <v>19</v>
      </c>
      <c r="M415">
        <v>3.64</v>
      </c>
      <c r="N415">
        <v>2</v>
      </c>
      <c r="O415">
        <v>0</v>
      </c>
      <c r="P415">
        <v>1.6379999999999999</v>
      </c>
      <c r="Q415" s="1">
        <v>0.45</v>
      </c>
      <c r="R415" t="s">
        <v>4</v>
      </c>
      <c r="S415" t="s">
        <v>394</v>
      </c>
    </row>
    <row r="416" spans="1:19" x14ac:dyDescent="0.3">
      <c r="A416">
        <v>1155</v>
      </c>
      <c r="B416" t="s">
        <v>1191</v>
      </c>
      <c r="C416">
        <v>2014</v>
      </c>
      <c r="D416" t="s">
        <v>410</v>
      </c>
      <c r="E416" t="s">
        <v>35</v>
      </c>
      <c r="F416" t="s">
        <v>253</v>
      </c>
      <c r="G416" t="s">
        <v>74</v>
      </c>
      <c r="H416" t="s">
        <v>9</v>
      </c>
      <c r="I416" t="s">
        <v>1192</v>
      </c>
      <c r="J416" t="s">
        <v>17</v>
      </c>
      <c r="K416" t="s">
        <v>23</v>
      </c>
      <c r="L416" t="s">
        <v>53</v>
      </c>
      <c r="M416">
        <v>122.48</v>
      </c>
      <c r="N416">
        <v>2</v>
      </c>
      <c r="O416">
        <v>0</v>
      </c>
      <c r="P416">
        <v>0</v>
      </c>
      <c r="Q416" s="1">
        <v>0</v>
      </c>
      <c r="R416" t="s">
        <v>4</v>
      </c>
      <c r="S416" t="s">
        <v>394</v>
      </c>
    </row>
    <row r="417" spans="1:19" x14ac:dyDescent="0.3">
      <c r="A417">
        <v>1159</v>
      </c>
      <c r="B417" t="s">
        <v>1193</v>
      </c>
      <c r="C417">
        <v>2016</v>
      </c>
      <c r="D417" t="s">
        <v>425</v>
      </c>
      <c r="E417" t="s">
        <v>13</v>
      </c>
      <c r="F417" t="s">
        <v>14</v>
      </c>
      <c r="G417" t="s">
        <v>15</v>
      </c>
      <c r="H417" t="s">
        <v>16</v>
      </c>
      <c r="I417" t="s">
        <v>1194</v>
      </c>
      <c r="J417" t="s">
        <v>10</v>
      </c>
      <c r="K417" t="s">
        <v>12</v>
      </c>
      <c r="L417" t="s">
        <v>5</v>
      </c>
      <c r="M417">
        <v>195.184</v>
      </c>
      <c r="N417">
        <v>1</v>
      </c>
      <c r="O417">
        <v>0.2</v>
      </c>
      <c r="P417">
        <v>19.5184</v>
      </c>
      <c r="Q417" s="1">
        <v>0.1</v>
      </c>
      <c r="R417" t="s">
        <v>4</v>
      </c>
      <c r="S417" t="s">
        <v>408</v>
      </c>
    </row>
    <row r="418" spans="1:19" x14ac:dyDescent="0.3">
      <c r="A418">
        <v>1162</v>
      </c>
      <c r="B418" t="s">
        <v>1195</v>
      </c>
      <c r="C418">
        <v>2014</v>
      </c>
      <c r="D418" t="s">
        <v>428</v>
      </c>
      <c r="E418" t="s">
        <v>6</v>
      </c>
      <c r="F418" t="s">
        <v>254</v>
      </c>
      <c r="G418" t="s">
        <v>15</v>
      </c>
      <c r="H418" t="s">
        <v>16</v>
      </c>
      <c r="I418" t="s">
        <v>1196</v>
      </c>
      <c r="J418" t="s">
        <v>17</v>
      </c>
      <c r="K418" t="s">
        <v>25</v>
      </c>
      <c r="L418" t="s">
        <v>5</v>
      </c>
      <c r="M418">
        <v>53.94</v>
      </c>
      <c r="N418">
        <v>3</v>
      </c>
      <c r="O418">
        <v>0</v>
      </c>
      <c r="P418">
        <v>15.6426</v>
      </c>
      <c r="Q418" s="1">
        <v>0.28999999999999998</v>
      </c>
      <c r="R418" t="s">
        <v>4</v>
      </c>
      <c r="S418" t="s">
        <v>394</v>
      </c>
    </row>
    <row r="419" spans="1:19" x14ac:dyDescent="0.3">
      <c r="A419">
        <v>1166</v>
      </c>
      <c r="B419" t="s">
        <v>1197</v>
      </c>
      <c r="C419">
        <v>2014</v>
      </c>
      <c r="D419" t="s">
        <v>417</v>
      </c>
      <c r="E419" t="s">
        <v>6</v>
      </c>
      <c r="F419" t="s">
        <v>75</v>
      </c>
      <c r="G419" t="s">
        <v>61</v>
      </c>
      <c r="H419" t="s">
        <v>38</v>
      </c>
      <c r="I419" t="s">
        <v>1198</v>
      </c>
      <c r="J419" t="s">
        <v>17</v>
      </c>
      <c r="K419" t="s">
        <v>28</v>
      </c>
      <c r="L419" t="s">
        <v>19</v>
      </c>
      <c r="M419">
        <v>46.8</v>
      </c>
      <c r="N419">
        <v>4</v>
      </c>
      <c r="O419">
        <v>0</v>
      </c>
      <c r="P419">
        <v>21.06</v>
      </c>
      <c r="Q419" s="1">
        <v>0.45</v>
      </c>
      <c r="R419" t="s">
        <v>4</v>
      </c>
      <c r="S419" t="s">
        <v>394</v>
      </c>
    </row>
    <row r="420" spans="1:19" x14ac:dyDescent="0.3">
      <c r="A420">
        <v>1172</v>
      </c>
      <c r="B420" t="s">
        <v>1199</v>
      </c>
      <c r="C420">
        <v>2014</v>
      </c>
      <c r="D420" t="s">
        <v>447</v>
      </c>
      <c r="E420" t="s">
        <v>6</v>
      </c>
      <c r="F420" t="s">
        <v>255</v>
      </c>
      <c r="G420" t="s">
        <v>61</v>
      </c>
      <c r="H420" t="s">
        <v>38</v>
      </c>
      <c r="I420" t="s">
        <v>1200</v>
      </c>
      <c r="J420" t="s">
        <v>17</v>
      </c>
      <c r="K420" t="s">
        <v>32</v>
      </c>
      <c r="L420" t="s">
        <v>19</v>
      </c>
      <c r="M420">
        <v>22.38</v>
      </c>
      <c r="N420">
        <v>2</v>
      </c>
      <c r="O420">
        <v>0</v>
      </c>
      <c r="P420">
        <v>10.7424</v>
      </c>
      <c r="Q420" s="1">
        <v>0.48</v>
      </c>
      <c r="R420" t="s">
        <v>4</v>
      </c>
      <c r="S420" t="s">
        <v>394</v>
      </c>
    </row>
    <row r="421" spans="1:19" x14ac:dyDescent="0.3">
      <c r="A421">
        <v>1173</v>
      </c>
      <c r="B421" t="s">
        <v>1201</v>
      </c>
      <c r="C421">
        <v>2014</v>
      </c>
      <c r="D421" t="s">
        <v>406</v>
      </c>
      <c r="E421" t="s">
        <v>6</v>
      </c>
      <c r="F421" t="s">
        <v>14</v>
      </c>
      <c r="G421" t="s">
        <v>15</v>
      </c>
      <c r="H421" t="s">
        <v>16</v>
      </c>
      <c r="I421" t="s">
        <v>1202</v>
      </c>
      <c r="J421" t="s">
        <v>17</v>
      </c>
      <c r="K421" t="s">
        <v>28</v>
      </c>
      <c r="L421" t="s">
        <v>19</v>
      </c>
      <c r="M421">
        <v>16.52</v>
      </c>
      <c r="N421">
        <v>5</v>
      </c>
      <c r="O421">
        <v>0.2</v>
      </c>
      <c r="P421">
        <v>5.5754999999999999</v>
      </c>
      <c r="Q421" s="1">
        <v>0.33750000000000002</v>
      </c>
      <c r="R421" t="s">
        <v>4</v>
      </c>
      <c r="S421" t="s">
        <v>408</v>
      </c>
    </row>
    <row r="422" spans="1:19" x14ac:dyDescent="0.3">
      <c r="A422">
        <v>1174</v>
      </c>
      <c r="B422" t="s">
        <v>1203</v>
      </c>
      <c r="C422">
        <v>2015</v>
      </c>
      <c r="D422" t="s">
        <v>399</v>
      </c>
      <c r="E422" t="s">
        <v>6</v>
      </c>
      <c r="F422" t="s">
        <v>98</v>
      </c>
      <c r="G422" t="s">
        <v>56</v>
      </c>
      <c r="H422" t="s">
        <v>38</v>
      </c>
      <c r="I422" t="s">
        <v>1204</v>
      </c>
      <c r="J422" t="s">
        <v>17</v>
      </c>
      <c r="K422" t="s">
        <v>28</v>
      </c>
      <c r="L422" t="s">
        <v>19</v>
      </c>
      <c r="M422">
        <v>5.1760000000000002</v>
      </c>
      <c r="N422">
        <v>4</v>
      </c>
      <c r="O422">
        <v>0.8</v>
      </c>
      <c r="P422">
        <v>-7.7640000000000002</v>
      </c>
      <c r="Q422" s="1">
        <v>-1.5</v>
      </c>
      <c r="R422" t="s">
        <v>401</v>
      </c>
      <c r="S422" t="s">
        <v>402</v>
      </c>
    </row>
    <row r="423" spans="1:19" x14ac:dyDescent="0.3">
      <c r="A423">
        <v>1175</v>
      </c>
      <c r="B423" t="s">
        <v>1205</v>
      </c>
      <c r="C423">
        <v>2015</v>
      </c>
      <c r="D423" t="s">
        <v>420</v>
      </c>
      <c r="E423" t="s">
        <v>13</v>
      </c>
      <c r="F423" t="s">
        <v>66</v>
      </c>
      <c r="G423" t="s">
        <v>67</v>
      </c>
      <c r="H423" t="s">
        <v>48</v>
      </c>
      <c r="I423" t="s">
        <v>1206</v>
      </c>
      <c r="J423" t="s">
        <v>17</v>
      </c>
      <c r="K423" t="s">
        <v>28</v>
      </c>
      <c r="L423" t="s">
        <v>53</v>
      </c>
      <c r="M423">
        <v>50.112000000000002</v>
      </c>
      <c r="N423">
        <v>6</v>
      </c>
      <c r="O423">
        <v>0.2</v>
      </c>
      <c r="P423">
        <v>16.2864</v>
      </c>
      <c r="Q423" s="1">
        <v>0.32500000000000001</v>
      </c>
      <c r="R423" t="s">
        <v>4</v>
      </c>
      <c r="S423" t="s">
        <v>408</v>
      </c>
    </row>
    <row r="424" spans="1:19" x14ac:dyDescent="0.3">
      <c r="A424">
        <v>1177</v>
      </c>
      <c r="B424" t="s">
        <v>1207</v>
      </c>
      <c r="C424">
        <v>2014</v>
      </c>
      <c r="D424" t="s">
        <v>410</v>
      </c>
      <c r="E424" t="s">
        <v>35</v>
      </c>
      <c r="F424" t="s">
        <v>14</v>
      </c>
      <c r="G424" t="s">
        <v>15</v>
      </c>
      <c r="H424" t="s">
        <v>16</v>
      </c>
      <c r="I424" t="s">
        <v>1208</v>
      </c>
      <c r="J424" t="s">
        <v>17</v>
      </c>
      <c r="K424" t="s">
        <v>18</v>
      </c>
      <c r="L424" t="s">
        <v>5</v>
      </c>
      <c r="M424">
        <v>11.56</v>
      </c>
      <c r="N424">
        <v>4</v>
      </c>
      <c r="O424">
        <v>0</v>
      </c>
      <c r="P424">
        <v>5.4332000000000003</v>
      </c>
      <c r="Q424" s="1">
        <v>0.47</v>
      </c>
      <c r="R424" t="s">
        <v>4</v>
      </c>
      <c r="S424" t="s">
        <v>394</v>
      </c>
    </row>
    <row r="425" spans="1:19" x14ac:dyDescent="0.3">
      <c r="A425">
        <v>1180</v>
      </c>
      <c r="B425" t="s">
        <v>1209</v>
      </c>
      <c r="C425">
        <v>2016</v>
      </c>
      <c r="D425" t="s">
        <v>406</v>
      </c>
      <c r="E425" t="s">
        <v>35</v>
      </c>
      <c r="F425" t="s">
        <v>52</v>
      </c>
      <c r="G425" t="s">
        <v>37</v>
      </c>
      <c r="H425" t="s">
        <v>38</v>
      </c>
      <c r="I425" t="s">
        <v>1210</v>
      </c>
      <c r="J425" t="s">
        <v>26</v>
      </c>
      <c r="K425" t="s">
        <v>50</v>
      </c>
      <c r="L425" t="s">
        <v>5</v>
      </c>
      <c r="M425">
        <v>258.69600000000003</v>
      </c>
      <c r="N425">
        <v>3</v>
      </c>
      <c r="O425">
        <v>0.2</v>
      </c>
      <c r="P425">
        <v>64.674000000000007</v>
      </c>
      <c r="Q425" s="1">
        <v>0.25</v>
      </c>
      <c r="R425" t="s">
        <v>4</v>
      </c>
      <c r="S425" t="s">
        <v>408</v>
      </c>
    </row>
    <row r="426" spans="1:19" x14ac:dyDescent="0.3">
      <c r="A426">
        <v>1183</v>
      </c>
      <c r="B426" t="s">
        <v>1211</v>
      </c>
      <c r="C426">
        <v>2017</v>
      </c>
      <c r="D426" t="s">
        <v>430</v>
      </c>
      <c r="E426" t="s">
        <v>6</v>
      </c>
      <c r="F426" t="s">
        <v>179</v>
      </c>
      <c r="G426" t="s">
        <v>31</v>
      </c>
      <c r="H426" t="s">
        <v>9</v>
      </c>
      <c r="I426" t="s">
        <v>1212</v>
      </c>
      <c r="J426" t="s">
        <v>17</v>
      </c>
      <c r="K426" t="s">
        <v>51</v>
      </c>
      <c r="L426" t="s">
        <v>53</v>
      </c>
      <c r="M426">
        <v>21.744</v>
      </c>
      <c r="N426">
        <v>1</v>
      </c>
      <c r="O426">
        <v>0.2</v>
      </c>
      <c r="P426">
        <v>7.3385999999999996</v>
      </c>
      <c r="Q426" s="1">
        <v>0.33750000000000002</v>
      </c>
      <c r="R426" t="s">
        <v>4</v>
      </c>
      <c r="S426" t="s">
        <v>408</v>
      </c>
    </row>
    <row r="427" spans="1:19" x14ac:dyDescent="0.3">
      <c r="A427">
        <v>1189</v>
      </c>
      <c r="B427" t="s">
        <v>1213</v>
      </c>
      <c r="C427">
        <v>2017</v>
      </c>
      <c r="D427" t="s">
        <v>529</v>
      </c>
      <c r="E427" t="s">
        <v>35</v>
      </c>
      <c r="F427" t="s">
        <v>14</v>
      </c>
      <c r="G427" t="s">
        <v>15</v>
      </c>
      <c r="H427" t="s">
        <v>16</v>
      </c>
      <c r="I427" t="s">
        <v>901</v>
      </c>
      <c r="J427" t="s">
        <v>17</v>
      </c>
      <c r="K427" t="s">
        <v>29</v>
      </c>
      <c r="L427" t="s">
        <v>5</v>
      </c>
      <c r="M427">
        <v>81.92</v>
      </c>
      <c r="N427">
        <v>4</v>
      </c>
      <c r="O427">
        <v>0</v>
      </c>
      <c r="P427">
        <v>22.118400000000001</v>
      </c>
      <c r="Q427" s="1">
        <v>0.27</v>
      </c>
      <c r="R427" t="s">
        <v>4</v>
      </c>
      <c r="S427" t="s">
        <v>394</v>
      </c>
    </row>
    <row r="428" spans="1:19" x14ac:dyDescent="0.3">
      <c r="A428">
        <v>1194</v>
      </c>
      <c r="B428" t="s">
        <v>1214</v>
      </c>
      <c r="C428">
        <v>2015</v>
      </c>
      <c r="D428" t="s">
        <v>428</v>
      </c>
      <c r="E428" t="s">
        <v>13</v>
      </c>
      <c r="F428" t="s">
        <v>256</v>
      </c>
      <c r="G428" t="s">
        <v>21</v>
      </c>
      <c r="H428" t="s">
        <v>9</v>
      </c>
      <c r="I428" t="s">
        <v>1215</v>
      </c>
      <c r="J428" t="s">
        <v>17</v>
      </c>
      <c r="K428" t="s">
        <v>32</v>
      </c>
      <c r="L428" t="s">
        <v>158</v>
      </c>
      <c r="M428">
        <v>15.552</v>
      </c>
      <c r="N428">
        <v>3</v>
      </c>
      <c r="O428">
        <v>0.2</v>
      </c>
      <c r="P428">
        <v>5.4432</v>
      </c>
      <c r="Q428" s="1">
        <v>0.35</v>
      </c>
      <c r="R428" t="s">
        <v>4</v>
      </c>
      <c r="S428" t="s">
        <v>408</v>
      </c>
    </row>
    <row r="429" spans="1:19" x14ac:dyDescent="0.3">
      <c r="A429">
        <v>1201</v>
      </c>
      <c r="B429" t="s">
        <v>1216</v>
      </c>
      <c r="C429">
        <v>2016</v>
      </c>
      <c r="D429" t="s">
        <v>425</v>
      </c>
      <c r="E429" t="s">
        <v>13</v>
      </c>
      <c r="F429" t="s">
        <v>125</v>
      </c>
      <c r="G429" t="s">
        <v>89</v>
      </c>
      <c r="H429" t="s">
        <v>16</v>
      </c>
      <c r="I429" t="s">
        <v>965</v>
      </c>
      <c r="J429" t="s">
        <v>10</v>
      </c>
      <c r="K429" t="s">
        <v>12</v>
      </c>
      <c r="L429" t="s">
        <v>19</v>
      </c>
      <c r="M429">
        <v>544.00800000000004</v>
      </c>
      <c r="N429">
        <v>3</v>
      </c>
      <c r="O429">
        <v>0.2</v>
      </c>
      <c r="P429">
        <v>40.800600000000003</v>
      </c>
      <c r="Q429" s="1">
        <v>7.4999999999999997E-2</v>
      </c>
      <c r="R429" t="s">
        <v>4</v>
      </c>
      <c r="S429" t="s">
        <v>408</v>
      </c>
    </row>
    <row r="430" spans="1:19" x14ac:dyDescent="0.3">
      <c r="A430">
        <v>1213</v>
      </c>
      <c r="B430" t="s">
        <v>1217</v>
      </c>
      <c r="C430">
        <v>2017</v>
      </c>
      <c r="D430" t="s">
        <v>428</v>
      </c>
      <c r="E430" t="s">
        <v>13</v>
      </c>
      <c r="F430" t="s">
        <v>46</v>
      </c>
      <c r="G430" t="s">
        <v>47</v>
      </c>
      <c r="H430" t="s">
        <v>48</v>
      </c>
      <c r="I430" t="s">
        <v>607</v>
      </c>
      <c r="J430" t="s">
        <v>10</v>
      </c>
      <c r="K430" t="s">
        <v>12</v>
      </c>
      <c r="L430" t="s">
        <v>19</v>
      </c>
      <c r="M430">
        <v>141.37200000000001</v>
      </c>
      <c r="N430">
        <v>2</v>
      </c>
      <c r="O430">
        <v>0.3</v>
      </c>
      <c r="P430">
        <v>-48.470399999999998</v>
      </c>
      <c r="Q430" s="1">
        <v>-0.34285714285714303</v>
      </c>
      <c r="R430" t="s">
        <v>401</v>
      </c>
      <c r="S430" t="s">
        <v>402</v>
      </c>
    </row>
    <row r="431" spans="1:19" x14ac:dyDescent="0.3">
      <c r="A431">
        <v>1223</v>
      </c>
      <c r="B431" t="s">
        <v>1218</v>
      </c>
      <c r="C431">
        <v>2016</v>
      </c>
      <c r="D431" t="s">
        <v>410</v>
      </c>
      <c r="E431" t="s">
        <v>6</v>
      </c>
      <c r="F431" t="s">
        <v>66</v>
      </c>
      <c r="G431" t="s">
        <v>67</v>
      </c>
      <c r="H431" t="s">
        <v>48</v>
      </c>
      <c r="I431" t="s">
        <v>1219</v>
      </c>
      <c r="J431" t="s">
        <v>10</v>
      </c>
      <c r="K431" t="s">
        <v>24</v>
      </c>
      <c r="L431" t="s">
        <v>53</v>
      </c>
      <c r="M431">
        <v>113.79</v>
      </c>
      <c r="N431">
        <v>3</v>
      </c>
      <c r="O431">
        <v>0</v>
      </c>
      <c r="P431">
        <v>20.482199999999999</v>
      </c>
      <c r="Q431" s="1">
        <v>0.18</v>
      </c>
      <c r="R431" t="s">
        <v>4</v>
      </c>
      <c r="S431" t="s">
        <v>394</v>
      </c>
    </row>
    <row r="432" spans="1:19" x14ac:dyDescent="0.3">
      <c r="A432">
        <v>1239</v>
      </c>
      <c r="B432" t="s">
        <v>1220</v>
      </c>
      <c r="C432">
        <v>2014</v>
      </c>
      <c r="D432" t="s">
        <v>420</v>
      </c>
      <c r="E432" t="s">
        <v>6</v>
      </c>
      <c r="F432" t="s">
        <v>33</v>
      </c>
      <c r="G432" t="s">
        <v>34</v>
      </c>
      <c r="H432" t="s">
        <v>16</v>
      </c>
      <c r="I432" t="s">
        <v>1221</v>
      </c>
      <c r="J432" t="s">
        <v>10</v>
      </c>
      <c r="K432" t="s">
        <v>24</v>
      </c>
      <c r="L432" t="s">
        <v>19</v>
      </c>
      <c r="M432">
        <v>12.35</v>
      </c>
      <c r="N432">
        <v>1</v>
      </c>
      <c r="O432">
        <v>0</v>
      </c>
      <c r="P432">
        <v>5.4340000000000002</v>
      </c>
      <c r="Q432" s="1">
        <v>0.44</v>
      </c>
      <c r="R432" t="s">
        <v>4</v>
      </c>
      <c r="S432" t="s">
        <v>394</v>
      </c>
    </row>
    <row r="433" spans="1:19" x14ac:dyDescent="0.3">
      <c r="A433">
        <v>1243</v>
      </c>
      <c r="B433" t="s">
        <v>1222</v>
      </c>
      <c r="C433">
        <v>2016</v>
      </c>
      <c r="D433" t="s">
        <v>529</v>
      </c>
      <c r="E433" t="s">
        <v>6</v>
      </c>
      <c r="F433" t="s">
        <v>66</v>
      </c>
      <c r="G433" t="s">
        <v>67</v>
      </c>
      <c r="H433" t="s">
        <v>48</v>
      </c>
      <c r="I433" t="s">
        <v>1223</v>
      </c>
      <c r="J433" t="s">
        <v>17</v>
      </c>
      <c r="K433" t="s">
        <v>28</v>
      </c>
      <c r="L433" t="s">
        <v>19</v>
      </c>
      <c r="M433">
        <v>398.35199999999998</v>
      </c>
      <c r="N433">
        <v>3</v>
      </c>
      <c r="O433">
        <v>0.2</v>
      </c>
      <c r="P433">
        <v>124.485</v>
      </c>
      <c r="Q433" s="1">
        <v>0.3125</v>
      </c>
      <c r="R433" t="s">
        <v>4</v>
      </c>
      <c r="S433" t="s">
        <v>408</v>
      </c>
    </row>
    <row r="434" spans="1:19" x14ac:dyDescent="0.3">
      <c r="A434">
        <v>1246</v>
      </c>
      <c r="B434" t="s">
        <v>1224</v>
      </c>
      <c r="C434">
        <v>2014</v>
      </c>
      <c r="D434" t="s">
        <v>410</v>
      </c>
      <c r="E434" t="s">
        <v>6</v>
      </c>
      <c r="F434" t="s">
        <v>259</v>
      </c>
      <c r="G434" t="s">
        <v>15</v>
      </c>
      <c r="H434" t="s">
        <v>16</v>
      </c>
      <c r="I434" t="s">
        <v>1225</v>
      </c>
      <c r="J434" t="s">
        <v>10</v>
      </c>
      <c r="K434" t="s">
        <v>22</v>
      </c>
      <c r="L434" t="s">
        <v>5</v>
      </c>
      <c r="M434">
        <v>764.68799999999999</v>
      </c>
      <c r="N434">
        <v>6</v>
      </c>
      <c r="O434">
        <v>0.2</v>
      </c>
      <c r="P434">
        <v>95.585999999999999</v>
      </c>
      <c r="Q434" s="1">
        <v>0.125</v>
      </c>
      <c r="R434" t="s">
        <v>4</v>
      </c>
      <c r="S434" t="s">
        <v>408</v>
      </c>
    </row>
    <row r="435" spans="1:19" x14ac:dyDescent="0.3">
      <c r="A435">
        <v>1253</v>
      </c>
      <c r="B435" t="s">
        <v>1226</v>
      </c>
      <c r="C435">
        <v>2015</v>
      </c>
      <c r="D435" t="s">
        <v>425</v>
      </c>
      <c r="E435" t="s">
        <v>6</v>
      </c>
      <c r="F435" t="s">
        <v>225</v>
      </c>
      <c r="G435" t="s">
        <v>40</v>
      </c>
      <c r="H435" t="s">
        <v>38</v>
      </c>
      <c r="I435" t="s">
        <v>1227</v>
      </c>
      <c r="J435" t="s">
        <v>26</v>
      </c>
      <c r="K435" t="s">
        <v>27</v>
      </c>
      <c r="L435" t="s">
        <v>19</v>
      </c>
      <c r="M435">
        <v>1099.96</v>
      </c>
      <c r="N435">
        <v>4</v>
      </c>
      <c r="O435">
        <v>0</v>
      </c>
      <c r="P435">
        <v>285.9896</v>
      </c>
      <c r="Q435" s="1">
        <v>0.26</v>
      </c>
      <c r="R435" t="s">
        <v>4</v>
      </c>
      <c r="S435" t="s">
        <v>394</v>
      </c>
    </row>
    <row r="436" spans="1:19" x14ac:dyDescent="0.3">
      <c r="A436">
        <v>1254</v>
      </c>
      <c r="B436" t="s">
        <v>1228</v>
      </c>
      <c r="C436">
        <v>2017</v>
      </c>
      <c r="D436" t="s">
        <v>447</v>
      </c>
      <c r="E436" t="s">
        <v>35</v>
      </c>
      <c r="F436" t="s">
        <v>212</v>
      </c>
      <c r="G436" t="s">
        <v>47</v>
      </c>
      <c r="H436" t="s">
        <v>48</v>
      </c>
      <c r="I436" t="s">
        <v>1229</v>
      </c>
      <c r="J436" t="s">
        <v>17</v>
      </c>
      <c r="K436" t="s">
        <v>25</v>
      </c>
      <c r="L436" t="s">
        <v>19</v>
      </c>
      <c r="M436">
        <v>5.2480000000000002</v>
      </c>
      <c r="N436">
        <v>2</v>
      </c>
      <c r="O436">
        <v>0.2</v>
      </c>
      <c r="P436">
        <v>0.59040000000000004</v>
      </c>
      <c r="Q436" s="1">
        <v>0.1125</v>
      </c>
      <c r="R436" t="s">
        <v>4</v>
      </c>
      <c r="S436" t="s">
        <v>408</v>
      </c>
    </row>
    <row r="437" spans="1:19" x14ac:dyDescent="0.3">
      <c r="A437">
        <v>1258</v>
      </c>
      <c r="B437" t="s">
        <v>1230</v>
      </c>
      <c r="C437">
        <v>2016</v>
      </c>
      <c r="D437" t="s">
        <v>410</v>
      </c>
      <c r="E437" t="s">
        <v>35</v>
      </c>
      <c r="F437" t="s">
        <v>90</v>
      </c>
      <c r="G437" t="s">
        <v>31</v>
      </c>
      <c r="H437" t="s">
        <v>9</v>
      </c>
      <c r="I437" t="s">
        <v>1231</v>
      </c>
      <c r="J437" t="s">
        <v>17</v>
      </c>
      <c r="K437" t="s">
        <v>28</v>
      </c>
      <c r="L437" t="s">
        <v>5</v>
      </c>
      <c r="M437">
        <v>27.882000000000001</v>
      </c>
      <c r="N437">
        <v>3</v>
      </c>
      <c r="O437">
        <v>0.7</v>
      </c>
      <c r="P437">
        <v>-20.4468</v>
      </c>
      <c r="Q437" s="1">
        <v>-0.73333333333333295</v>
      </c>
      <c r="R437" t="s">
        <v>401</v>
      </c>
      <c r="S437" t="s">
        <v>402</v>
      </c>
    </row>
    <row r="438" spans="1:19" x14ac:dyDescent="0.3">
      <c r="A438">
        <v>1261</v>
      </c>
      <c r="B438" t="s">
        <v>1232</v>
      </c>
      <c r="C438">
        <v>2017</v>
      </c>
      <c r="D438" t="s">
        <v>399</v>
      </c>
      <c r="E438" t="s">
        <v>6</v>
      </c>
      <c r="F438" t="s">
        <v>179</v>
      </c>
      <c r="G438" t="s">
        <v>21</v>
      </c>
      <c r="H438" t="s">
        <v>9</v>
      </c>
      <c r="I438" t="s">
        <v>1233</v>
      </c>
      <c r="J438" t="s">
        <v>26</v>
      </c>
      <c r="K438" t="s">
        <v>27</v>
      </c>
      <c r="L438" t="s">
        <v>19</v>
      </c>
      <c r="M438">
        <v>863.88</v>
      </c>
      <c r="N438">
        <v>3</v>
      </c>
      <c r="O438">
        <v>0.2</v>
      </c>
      <c r="P438">
        <v>107.985</v>
      </c>
      <c r="Q438" s="1">
        <v>0.125</v>
      </c>
      <c r="R438" t="s">
        <v>4</v>
      </c>
      <c r="S438" t="s">
        <v>408</v>
      </c>
    </row>
    <row r="439" spans="1:19" x14ac:dyDescent="0.3">
      <c r="A439">
        <v>1263</v>
      </c>
      <c r="B439" t="s">
        <v>1234</v>
      </c>
      <c r="C439">
        <v>2017</v>
      </c>
      <c r="D439" t="s">
        <v>425</v>
      </c>
      <c r="E439" t="s">
        <v>6</v>
      </c>
      <c r="F439" t="s">
        <v>149</v>
      </c>
      <c r="G439" t="s">
        <v>67</v>
      </c>
      <c r="H439" t="s">
        <v>48</v>
      </c>
      <c r="I439" t="s">
        <v>431</v>
      </c>
      <c r="J439" t="s">
        <v>17</v>
      </c>
      <c r="K439" t="s">
        <v>28</v>
      </c>
      <c r="L439" t="s">
        <v>5</v>
      </c>
      <c r="M439">
        <v>17.472000000000001</v>
      </c>
      <c r="N439">
        <v>3</v>
      </c>
      <c r="O439">
        <v>0.2</v>
      </c>
      <c r="P439">
        <v>6.3335999999999997</v>
      </c>
      <c r="Q439" s="1">
        <v>0.36249999999999999</v>
      </c>
      <c r="R439" t="s">
        <v>4</v>
      </c>
      <c r="S439" t="s">
        <v>408</v>
      </c>
    </row>
    <row r="440" spans="1:19" x14ac:dyDescent="0.3">
      <c r="A440">
        <v>1271</v>
      </c>
      <c r="B440" t="s">
        <v>1235</v>
      </c>
      <c r="C440">
        <v>2016</v>
      </c>
      <c r="D440" t="s">
        <v>406</v>
      </c>
      <c r="E440" t="s">
        <v>13</v>
      </c>
      <c r="F440" t="s">
        <v>70</v>
      </c>
      <c r="G440" t="s">
        <v>56</v>
      </c>
      <c r="H440" t="s">
        <v>38</v>
      </c>
      <c r="I440" t="s">
        <v>1236</v>
      </c>
      <c r="J440" t="s">
        <v>17</v>
      </c>
      <c r="K440" t="s">
        <v>23</v>
      </c>
      <c r="L440" t="s">
        <v>19</v>
      </c>
      <c r="M440">
        <v>102.336</v>
      </c>
      <c r="N440">
        <v>4</v>
      </c>
      <c r="O440">
        <v>0.2</v>
      </c>
      <c r="P440">
        <v>-12.792</v>
      </c>
      <c r="Q440" s="1">
        <v>-0.125</v>
      </c>
      <c r="R440" t="s">
        <v>401</v>
      </c>
      <c r="S440" t="s">
        <v>408</v>
      </c>
    </row>
    <row r="441" spans="1:19" x14ac:dyDescent="0.3">
      <c r="A441">
        <v>1274</v>
      </c>
      <c r="B441" t="s">
        <v>1237</v>
      </c>
      <c r="C441">
        <v>2016</v>
      </c>
      <c r="D441" t="s">
        <v>417</v>
      </c>
      <c r="E441" t="s">
        <v>6</v>
      </c>
      <c r="F441" t="s">
        <v>36</v>
      </c>
      <c r="G441" t="s">
        <v>37</v>
      </c>
      <c r="H441" t="s">
        <v>38</v>
      </c>
      <c r="I441" t="s">
        <v>1238</v>
      </c>
      <c r="J441" t="s">
        <v>17</v>
      </c>
      <c r="K441" t="s">
        <v>32</v>
      </c>
      <c r="L441" t="s">
        <v>158</v>
      </c>
      <c r="M441">
        <v>10.368</v>
      </c>
      <c r="N441">
        <v>2</v>
      </c>
      <c r="O441">
        <v>0.2</v>
      </c>
      <c r="P441">
        <v>3.6288</v>
      </c>
      <c r="Q441" s="1">
        <v>0.35</v>
      </c>
      <c r="R441" t="s">
        <v>4</v>
      </c>
      <c r="S441" t="s">
        <v>408</v>
      </c>
    </row>
    <row r="442" spans="1:19" x14ac:dyDescent="0.3">
      <c r="A442">
        <v>1278</v>
      </c>
      <c r="B442" t="s">
        <v>1239</v>
      </c>
      <c r="C442">
        <v>2016</v>
      </c>
      <c r="D442" t="s">
        <v>417</v>
      </c>
      <c r="E442" t="s">
        <v>6</v>
      </c>
      <c r="F442" t="s">
        <v>52</v>
      </c>
      <c r="G442" t="s">
        <v>37</v>
      </c>
      <c r="H442" t="s">
        <v>38</v>
      </c>
      <c r="I442" t="s">
        <v>1240</v>
      </c>
      <c r="J442" t="s">
        <v>17</v>
      </c>
      <c r="K442" t="s">
        <v>25</v>
      </c>
      <c r="L442" t="s">
        <v>19</v>
      </c>
      <c r="M442">
        <v>86.352000000000004</v>
      </c>
      <c r="N442">
        <v>3</v>
      </c>
      <c r="O442">
        <v>0.2</v>
      </c>
      <c r="P442">
        <v>5.3970000000000002</v>
      </c>
      <c r="Q442" s="1">
        <v>6.25E-2</v>
      </c>
      <c r="R442" t="s">
        <v>4</v>
      </c>
      <c r="S442" t="s">
        <v>408</v>
      </c>
    </row>
    <row r="443" spans="1:19" x14ac:dyDescent="0.3">
      <c r="A443">
        <v>1288</v>
      </c>
      <c r="B443" t="s">
        <v>1241</v>
      </c>
      <c r="C443">
        <v>2016</v>
      </c>
      <c r="D443" t="s">
        <v>392</v>
      </c>
      <c r="E443" t="s">
        <v>13</v>
      </c>
      <c r="F443" t="s">
        <v>66</v>
      </c>
      <c r="G443" t="s">
        <v>67</v>
      </c>
      <c r="H443" t="s">
        <v>48</v>
      </c>
      <c r="I443" t="s">
        <v>1242</v>
      </c>
      <c r="J443" t="s">
        <v>10</v>
      </c>
      <c r="K443" t="s">
        <v>24</v>
      </c>
      <c r="L443" t="s">
        <v>19</v>
      </c>
      <c r="M443">
        <v>39.880000000000003</v>
      </c>
      <c r="N443">
        <v>2</v>
      </c>
      <c r="O443">
        <v>0</v>
      </c>
      <c r="P443">
        <v>11.166399999999999</v>
      </c>
      <c r="Q443" s="1">
        <v>0.28000000000000003</v>
      </c>
      <c r="R443" t="s">
        <v>4</v>
      </c>
      <c r="S443" t="s">
        <v>394</v>
      </c>
    </row>
    <row r="444" spans="1:19" x14ac:dyDescent="0.3">
      <c r="A444">
        <v>1296</v>
      </c>
      <c r="B444" t="s">
        <v>1243</v>
      </c>
      <c r="C444">
        <v>2015</v>
      </c>
      <c r="D444" t="s">
        <v>417</v>
      </c>
      <c r="E444" t="s">
        <v>6</v>
      </c>
      <c r="F444" t="s">
        <v>263</v>
      </c>
      <c r="G444" t="s">
        <v>89</v>
      </c>
      <c r="H444" t="s">
        <v>16</v>
      </c>
      <c r="I444" t="s">
        <v>1244</v>
      </c>
      <c r="J444" t="s">
        <v>17</v>
      </c>
      <c r="K444" t="s">
        <v>29</v>
      </c>
      <c r="L444" t="s">
        <v>19</v>
      </c>
      <c r="M444">
        <v>845.72799999999995</v>
      </c>
      <c r="N444">
        <v>13</v>
      </c>
      <c r="O444">
        <v>0.2</v>
      </c>
      <c r="P444">
        <v>84.572800000000001</v>
      </c>
      <c r="Q444" s="1">
        <v>0.1</v>
      </c>
      <c r="R444" t="s">
        <v>4</v>
      </c>
      <c r="S444" t="s">
        <v>408</v>
      </c>
    </row>
    <row r="445" spans="1:19" x14ac:dyDescent="0.3">
      <c r="A445">
        <v>1301</v>
      </c>
      <c r="B445" t="s">
        <v>1245</v>
      </c>
      <c r="C445">
        <v>2016</v>
      </c>
      <c r="D445" t="s">
        <v>410</v>
      </c>
      <c r="E445" t="s">
        <v>6</v>
      </c>
      <c r="F445" t="s">
        <v>73</v>
      </c>
      <c r="G445" t="s">
        <v>74</v>
      </c>
      <c r="H445" t="s">
        <v>9</v>
      </c>
      <c r="I445" t="s">
        <v>1246</v>
      </c>
      <c r="J445" t="s">
        <v>10</v>
      </c>
      <c r="K445" t="s">
        <v>24</v>
      </c>
      <c r="L445" t="s">
        <v>5</v>
      </c>
      <c r="M445">
        <v>572.76</v>
      </c>
      <c r="N445">
        <v>6</v>
      </c>
      <c r="O445">
        <v>0</v>
      </c>
      <c r="P445">
        <v>166.10040000000001</v>
      </c>
      <c r="Q445" s="1">
        <v>0.28999999999999998</v>
      </c>
      <c r="R445" t="s">
        <v>4</v>
      </c>
      <c r="S445" t="s">
        <v>394</v>
      </c>
    </row>
    <row r="446" spans="1:19" x14ac:dyDescent="0.3">
      <c r="A446">
        <v>1303</v>
      </c>
      <c r="B446" t="s">
        <v>1247</v>
      </c>
      <c r="C446">
        <v>2015</v>
      </c>
      <c r="D446" t="s">
        <v>428</v>
      </c>
      <c r="E446" t="s">
        <v>35</v>
      </c>
      <c r="F446" t="s">
        <v>145</v>
      </c>
      <c r="G446" t="s">
        <v>74</v>
      </c>
      <c r="H446" t="s">
        <v>9</v>
      </c>
      <c r="I446" t="s">
        <v>1248</v>
      </c>
      <c r="J446" t="s">
        <v>10</v>
      </c>
      <c r="K446" t="s">
        <v>11</v>
      </c>
      <c r="L446" t="s">
        <v>5</v>
      </c>
      <c r="M446">
        <v>61.96</v>
      </c>
      <c r="N446">
        <v>2</v>
      </c>
      <c r="O446">
        <v>0</v>
      </c>
      <c r="P446">
        <v>4.3372000000000002</v>
      </c>
      <c r="Q446" s="1">
        <v>7.0000000000000007E-2</v>
      </c>
      <c r="R446" t="s">
        <v>4</v>
      </c>
      <c r="S446" t="s">
        <v>394</v>
      </c>
    </row>
    <row r="447" spans="1:19" x14ac:dyDescent="0.3">
      <c r="A447">
        <v>1304</v>
      </c>
      <c r="B447" t="s">
        <v>1249</v>
      </c>
      <c r="C447">
        <v>2017</v>
      </c>
      <c r="D447" t="s">
        <v>425</v>
      </c>
      <c r="E447" t="s">
        <v>6</v>
      </c>
      <c r="F447" t="s">
        <v>94</v>
      </c>
      <c r="G447" t="s">
        <v>157</v>
      </c>
      <c r="H447" t="s">
        <v>9</v>
      </c>
      <c r="I447" t="s">
        <v>1250</v>
      </c>
      <c r="J447" t="s">
        <v>10</v>
      </c>
      <c r="K447" t="s">
        <v>24</v>
      </c>
      <c r="L447" t="s">
        <v>19</v>
      </c>
      <c r="M447">
        <v>23.99</v>
      </c>
      <c r="N447">
        <v>1</v>
      </c>
      <c r="O447">
        <v>0</v>
      </c>
      <c r="P447">
        <v>5.5176999999999996</v>
      </c>
      <c r="Q447" s="1">
        <v>0.23</v>
      </c>
      <c r="R447" t="s">
        <v>4</v>
      </c>
      <c r="S447" t="s">
        <v>394</v>
      </c>
    </row>
    <row r="448" spans="1:19" x14ac:dyDescent="0.3">
      <c r="A448">
        <v>1314</v>
      </c>
      <c r="B448" t="s">
        <v>1251</v>
      </c>
      <c r="C448">
        <v>2016</v>
      </c>
      <c r="D448" t="s">
        <v>428</v>
      </c>
      <c r="E448" t="s">
        <v>6</v>
      </c>
      <c r="F448" t="s">
        <v>94</v>
      </c>
      <c r="G448" t="s">
        <v>95</v>
      </c>
      <c r="H448" t="s">
        <v>48</v>
      </c>
      <c r="I448" t="s">
        <v>1252</v>
      </c>
      <c r="J448" t="s">
        <v>10</v>
      </c>
      <c r="K448" t="s">
        <v>12</v>
      </c>
      <c r="L448" t="s">
        <v>19</v>
      </c>
      <c r="M448">
        <v>155.37200000000001</v>
      </c>
      <c r="N448">
        <v>2</v>
      </c>
      <c r="O448">
        <v>0.3</v>
      </c>
      <c r="P448">
        <v>-13.317600000000001</v>
      </c>
      <c r="Q448" s="1">
        <v>-8.5714285714285701E-2</v>
      </c>
      <c r="R448" t="s">
        <v>401</v>
      </c>
      <c r="S448" t="s">
        <v>402</v>
      </c>
    </row>
    <row r="449" spans="1:19" x14ac:dyDescent="0.3">
      <c r="A449">
        <v>1321</v>
      </c>
      <c r="B449" t="s">
        <v>1253</v>
      </c>
      <c r="C449">
        <v>2017</v>
      </c>
      <c r="D449" t="s">
        <v>529</v>
      </c>
      <c r="E449" t="s">
        <v>6</v>
      </c>
      <c r="F449" t="s">
        <v>138</v>
      </c>
      <c r="G449" t="s">
        <v>95</v>
      </c>
      <c r="H449" t="s">
        <v>48</v>
      </c>
      <c r="I449" t="s">
        <v>1046</v>
      </c>
      <c r="J449" t="s">
        <v>17</v>
      </c>
      <c r="K449" t="s">
        <v>28</v>
      </c>
      <c r="L449" t="s">
        <v>19</v>
      </c>
      <c r="M449">
        <v>5.2290000000000001</v>
      </c>
      <c r="N449">
        <v>3</v>
      </c>
      <c r="O449">
        <v>0.7</v>
      </c>
      <c r="P449">
        <v>-4.1832000000000003</v>
      </c>
      <c r="Q449" s="1">
        <v>-0.8</v>
      </c>
      <c r="R449" t="s">
        <v>401</v>
      </c>
      <c r="S449" t="s">
        <v>402</v>
      </c>
    </row>
    <row r="450" spans="1:19" x14ac:dyDescent="0.3">
      <c r="A450">
        <v>1323</v>
      </c>
      <c r="B450" t="s">
        <v>1254</v>
      </c>
      <c r="C450">
        <v>2017</v>
      </c>
      <c r="D450" t="s">
        <v>447</v>
      </c>
      <c r="E450" t="s">
        <v>6</v>
      </c>
      <c r="F450" t="s">
        <v>265</v>
      </c>
      <c r="G450" t="s">
        <v>8</v>
      </c>
      <c r="H450" t="s">
        <v>9</v>
      </c>
      <c r="I450" t="s">
        <v>1255</v>
      </c>
      <c r="J450" t="s">
        <v>17</v>
      </c>
      <c r="K450" t="s">
        <v>29</v>
      </c>
      <c r="L450" t="s">
        <v>19</v>
      </c>
      <c r="M450">
        <v>72.8</v>
      </c>
      <c r="N450">
        <v>5</v>
      </c>
      <c r="O450">
        <v>0</v>
      </c>
      <c r="P450">
        <v>19.655999999999999</v>
      </c>
      <c r="Q450" s="1">
        <v>0.27</v>
      </c>
      <c r="R450" t="s">
        <v>4</v>
      </c>
      <c r="S450" t="s">
        <v>394</v>
      </c>
    </row>
    <row r="451" spans="1:19" x14ac:dyDescent="0.3">
      <c r="A451">
        <v>1324</v>
      </c>
      <c r="B451" t="s">
        <v>1256</v>
      </c>
      <c r="C451">
        <v>2017</v>
      </c>
      <c r="D451" t="s">
        <v>399</v>
      </c>
      <c r="E451" t="s">
        <v>6</v>
      </c>
      <c r="F451" t="s">
        <v>97</v>
      </c>
      <c r="G451" t="s">
        <v>31</v>
      </c>
      <c r="H451" t="s">
        <v>9</v>
      </c>
      <c r="I451" t="s">
        <v>1257</v>
      </c>
      <c r="J451" t="s">
        <v>17</v>
      </c>
      <c r="K451" t="s">
        <v>32</v>
      </c>
      <c r="L451" t="s">
        <v>53</v>
      </c>
      <c r="M451">
        <v>10.816000000000001</v>
      </c>
      <c r="N451">
        <v>4</v>
      </c>
      <c r="O451">
        <v>0.2</v>
      </c>
      <c r="P451">
        <v>3.5152000000000001</v>
      </c>
      <c r="Q451" s="1">
        <v>0.32500000000000001</v>
      </c>
      <c r="R451" t="s">
        <v>4</v>
      </c>
      <c r="S451" t="s">
        <v>408</v>
      </c>
    </row>
    <row r="452" spans="1:19" x14ac:dyDescent="0.3">
      <c r="A452">
        <v>1325</v>
      </c>
      <c r="B452" t="s">
        <v>1258</v>
      </c>
      <c r="C452">
        <v>2014</v>
      </c>
      <c r="D452" t="s">
        <v>428</v>
      </c>
      <c r="E452" t="s">
        <v>13</v>
      </c>
      <c r="F452" t="s">
        <v>174</v>
      </c>
      <c r="G452" t="s">
        <v>156</v>
      </c>
      <c r="H452" t="s">
        <v>48</v>
      </c>
      <c r="I452" t="s">
        <v>1038</v>
      </c>
      <c r="J452" t="s">
        <v>17</v>
      </c>
      <c r="K452" t="s">
        <v>23</v>
      </c>
      <c r="L452" t="s">
        <v>19</v>
      </c>
      <c r="M452">
        <v>46.26</v>
      </c>
      <c r="N452">
        <v>3</v>
      </c>
      <c r="O452">
        <v>0</v>
      </c>
      <c r="P452">
        <v>12.4902</v>
      </c>
      <c r="Q452" s="1">
        <v>0.27</v>
      </c>
      <c r="R452" t="s">
        <v>4</v>
      </c>
      <c r="S452" t="s">
        <v>394</v>
      </c>
    </row>
    <row r="453" spans="1:19" x14ac:dyDescent="0.3">
      <c r="A453">
        <v>1327</v>
      </c>
      <c r="B453" t="s">
        <v>1259</v>
      </c>
      <c r="C453">
        <v>2015</v>
      </c>
      <c r="D453" t="s">
        <v>396</v>
      </c>
      <c r="E453" t="s">
        <v>35</v>
      </c>
      <c r="F453" t="s">
        <v>46</v>
      </c>
      <c r="G453" t="s">
        <v>47</v>
      </c>
      <c r="H453" t="s">
        <v>48</v>
      </c>
      <c r="I453" t="s">
        <v>1260</v>
      </c>
      <c r="J453" t="s">
        <v>10</v>
      </c>
      <c r="K453" t="s">
        <v>24</v>
      </c>
      <c r="L453" t="s">
        <v>19</v>
      </c>
      <c r="M453">
        <v>51.072000000000003</v>
      </c>
      <c r="N453">
        <v>6</v>
      </c>
      <c r="O453">
        <v>0.2</v>
      </c>
      <c r="P453">
        <v>5.1071999999999997</v>
      </c>
      <c r="Q453" s="1">
        <v>0.1</v>
      </c>
      <c r="R453" t="s">
        <v>4</v>
      </c>
      <c r="S453" t="s">
        <v>408</v>
      </c>
    </row>
    <row r="454" spans="1:19" x14ac:dyDescent="0.3">
      <c r="A454">
        <v>1328</v>
      </c>
      <c r="B454" t="s">
        <v>1261</v>
      </c>
      <c r="C454">
        <v>2016</v>
      </c>
      <c r="D454" t="s">
        <v>447</v>
      </c>
      <c r="E454" t="s">
        <v>13</v>
      </c>
      <c r="F454" t="s">
        <v>233</v>
      </c>
      <c r="G454" t="s">
        <v>118</v>
      </c>
      <c r="H454" t="s">
        <v>48</v>
      </c>
      <c r="I454" t="s">
        <v>1101</v>
      </c>
      <c r="J454" t="s">
        <v>17</v>
      </c>
      <c r="K454" t="s">
        <v>32</v>
      </c>
      <c r="L454" t="s">
        <v>53</v>
      </c>
      <c r="M454">
        <v>11.34</v>
      </c>
      <c r="N454">
        <v>1</v>
      </c>
      <c r="O454">
        <v>0</v>
      </c>
      <c r="P454">
        <v>5.5566000000000004</v>
      </c>
      <c r="Q454" s="1">
        <v>0.49</v>
      </c>
      <c r="R454" t="s">
        <v>4</v>
      </c>
      <c r="S454" t="s">
        <v>394</v>
      </c>
    </row>
    <row r="455" spans="1:19" x14ac:dyDescent="0.3">
      <c r="A455">
        <v>1329</v>
      </c>
      <c r="B455" t="s">
        <v>1262</v>
      </c>
      <c r="C455">
        <v>2017</v>
      </c>
      <c r="D455" t="s">
        <v>399</v>
      </c>
      <c r="E455" t="s">
        <v>35</v>
      </c>
      <c r="F455" t="s">
        <v>43</v>
      </c>
      <c r="G455" t="s">
        <v>15</v>
      </c>
      <c r="H455" t="s">
        <v>16</v>
      </c>
      <c r="I455" t="s">
        <v>1263</v>
      </c>
      <c r="J455" t="s">
        <v>17</v>
      </c>
      <c r="K455" t="s">
        <v>25</v>
      </c>
      <c r="L455" t="s">
        <v>5</v>
      </c>
      <c r="M455">
        <v>87.92</v>
      </c>
      <c r="N455">
        <v>4</v>
      </c>
      <c r="O455">
        <v>0</v>
      </c>
      <c r="P455">
        <v>26.376000000000001</v>
      </c>
      <c r="Q455" s="1">
        <v>0.3</v>
      </c>
      <c r="R455" t="s">
        <v>4</v>
      </c>
      <c r="S455" t="s">
        <v>394</v>
      </c>
    </row>
    <row r="456" spans="1:19" x14ac:dyDescent="0.3">
      <c r="A456">
        <v>1330</v>
      </c>
      <c r="B456" t="s">
        <v>1264</v>
      </c>
      <c r="C456">
        <v>2016</v>
      </c>
      <c r="D456" t="s">
        <v>417</v>
      </c>
      <c r="E456" t="s">
        <v>6</v>
      </c>
      <c r="F456" t="s">
        <v>43</v>
      </c>
      <c r="G456" t="s">
        <v>15</v>
      </c>
      <c r="H456" t="s">
        <v>16</v>
      </c>
      <c r="I456" t="s">
        <v>1221</v>
      </c>
      <c r="J456" t="s">
        <v>10</v>
      </c>
      <c r="K456" t="s">
        <v>24</v>
      </c>
      <c r="L456" t="s">
        <v>19</v>
      </c>
      <c r="M456">
        <v>37.049999999999997</v>
      </c>
      <c r="N456">
        <v>3</v>
      </c>
      <c r="O456">
        <v>0</v>
      </c>
      <c r="P456">
        <v>16.302</v>
      </c>
      <c r="Q456" s="1">
        <v>0.44</v>
      </c>
      <c r="R456" t="s">
        <v>4</v>
      </c>
      <c r="S456" t="s">
        <v>394</v>
      </c>
    </row>
    <row r="457" spans="1:19" x14ac:dyDescent="0.3">
      <c r="A457">
        <v>1331</v>
      </c>
      <c r="B457" t="s">
        <v>1265</v>
      </c>
      <c r="C457">
        <v>2017</v>
      </c>
      <c r="D457" t="s">
        <v>396</v>
      </c>
      <c r="E457" t="s">
        <v>35</v>
      </c>
      <c r="F457" t="s">
        <v>227</v>
      </c>
      <c r="G457" t="s">
        <v>95</v>
      </c>
      <c r="H457" t="s">
        <v>48</v>
      </c>
      <c r="I457" t="s">
        <v>1266</v>
      </c>
      <c r="J457" t="s">
        <v>26</v>
      </c>
      <c r="K457" t="s">
        <v>27</v>
      </c>
      <c r="L457" t="s">
        <v>19</v>
      </c>
      <c r="M457">
        <v>2.97</v>
      </c>
      <c r="N457">
        <v>1</v>
      </c>
      <c r="O457">
        <v>0.4</v>
      </c>
      <c r="P457">
        <v>-0.64349999999999996</v>
      </c>
      <c r="Q457" s="1">
        <v>-0.21666666666666701</v>
      </c>
      <c r="R457" t="s">
        <v>401</v>
      </c>
      <c r="S457" t="s">
        <v>402</v>
      </c>
    </row>
    <row r="458" spans="1:19" x14ac:dyDescent="0.3">
      <c r="A458">
        <v>1333</v>
      </c>
      <c r="B458" t="s">
        <v>1267</v>
      </c>
      <c r="C458">
        <v>2014</v>
      </c>
      <c r="D458" t="s">
        <v>529</v>
      </c>
      <c r="E458" t="s">
        <v>6</v>
      </c>
      <c r="F458" t="s">
        <v>126</v>
      </c>
      <c r="G458" t="s">
        <v>37</v>
      </c>
      <c r="H458" t="s">
        <v>38</v>
      </c>
      <c r="I458" t="s">
        <v>1098</v>
      </c>
      <c r="J458" t="s">
        <v>17</v>
      </c>
      <c r="K458" t="s">
        <v>28</v>
      </c>
      <c r="L458" t="s">
        <v>19</v>
      </c>
      <c r="M458">
        <v>1.08</v>
      </c>
      <c r="N458">
        <v>3</v>
      </c>
      <c r="O458">
        <v>0.8</v>
      </c>
      <c r="P458">
        <v>-1.728</v>
      </c>
      <c r="Q458" s="1">
        <v>-1.6</v>
      </c>
      <c r="R458" t="s">
        <v>401</v>
      </c>
      <c r="S458" t="s">
        <v>402</v>
      </c>
    </row>
    <row r="459" spans="1:19" x14ac:dyDescent="0.3">
      <c r="A459">
        <v>1335</v>
      </c>
      <c r="B459" t="s">
        <v>1268</v>
      </c>
      <c r="C459">
        <v>2014</v>
      </c>
      <c r="D459" t="s">
        <v>417</v>
      </c>
      <c r="E459" t="s">
        <v>35</v>
      </c>
      <c r="F459" t="s">
        <v>14</v>
      </c>
      <c r="G459" t="s">
        <v>15</v>
      </c>
      <c r="H459" t="s">
        <v>16</v>
      </c>
      <c r="I459" t="s">
        <v>1269</v>
      </c>
      <c r="J459" t="s">
        <v>17</v>
      </c>
      <c r="K459" t="s">
        <v>28</v>
      </c>
      <c r="L459" t="s">
        <v>19</v>
      </c>
      <c r="M459">
        <v>140.73599999999999</v>
      </c>
      <c r="N459">
        <v>8</v>
      </c>
      <c r="O459">
        <v>0.2</v>
      </c>
      <c r="P459">
        <v>52.776000000000003</v>
      </c>
      <c r="Q459" s="1">
        <v>0.375</v>
      </c>
      <c r="R459" t="s">
        <v>4</v>
      </c>
      <c r="S459" t="s">
        <v>408</v>
      </c>
    </row>
    <row r="460" spans="1:19" x14ac:dyDescent="0.3">
      <c r="A460">
        <v>1336</v>
      </c>
      <c r="B460" t="s">
        <v>1270</v>
      </c>
      <c r="C460">
        <v>2016</v>
      </c>
      <c r="D460" t="s">
        <v>417</v>
      </c>
      <c r="E460" t="s">
        <v>6</v>
      </c>
      <c r="F460" t="s">
        <v>266</v>
      </c>
      <c r="G460" t="s">
        <v>118</v>
      </c>
      <c r="H460" t="s">
        <v>48</v>
      </c>
      <c r="I460" t="s">
        <v>1271</v>
      </c>
      <c r="J460" t="s">
        <v>17</v>
      </c>
      <c r="K460" t="s">
        <v>23</v>
      </c>
      <c r="L460" t="s">
        <v>19</v>
      </c>
      <c r="M460">
        <v>552.55999999999995</v>
      </c>
      <c r="N460">
        <v>4</v>
      </c>
      <c r="O460">
        <v>0</v>
      </c>
      <c r="P460">
        <v>0</v>
      </c>
      <c r="Q460" s="1">
        <v>0</v>
      </c>
      <c r="R460" t="s">
        <v>4</v>
      </c>
      <c r="S460" t="s">
        <v>394</v>
      </c>
    </row>
    <row r="461" spans="1:19" x14ac:dyDescent="0.3">
      <c r="A461">
        <v>1337</v>
      </c>
      <c r="B461" t="s">
        <v>1272</v>
      </c>
      <c r="C461">
        <v>2017</v>
      </c>
      <c r="D461" t="s">
        <v>406</v>
      </c>
      <c r="E461" t="s">
        <v>6</v>
      </c>
      <c r="F461" t="s">
        <v>14</v>
      </c>
      <c r="G461" t="s">
        <v>15</v>
      </c>
      <c r="H461" t="s">
        <v>16</v>
      </c>
      <c r="I461" t="s">
        <v>1273</v>
      </c>
      <c r="J461" t="s">
        <v>10</v>
      </c>
      <c r="K461" t="s">
        <v>24</v>
      </c>
      <c r="L461" t="s">
        <v>19</v>
      </c>
      <c r="M461">
        <v>25.11</v>
      </c>
      <c r="N461">
        <v>3</v>
      </c>
      <c r="O461">
        <v>0</v>
      </c>
      <c r="P461">
        <v>6.5286</v>
      </c>
      <c r="Q461" s="1">
        <v>0.26</v>
      </c>
      <c r="R461" t="s">
        <v>4</v>
      </c>
      <c r="S461" t="s">
        <v>394</v>
      </c>
    </row>
    <row r="462" spans="1:19" x14ac:dyDescent="0.3">
      <c r="A462">
        <v>1341</v>
      </c>
      <c r="B462" t="s">
        <v>1274</v>
      </c>
      <c r="C462">
        <v>2017</v>
      </c>
      <c r="D462" t="s">
        <v>430</v>
      </c>
      <c r="E462" t="s">
        <v>13</v>
      </c>
      <c r="F462" t="s">
        <v>179</v>
      </c>
      <c r="G462" t="s">
        <v>31</v>
      </c>
      <c r="H462" t="s">
        <v>9</v>
      </c>
      <c r="I462" t="s">
        <v>1275</v>
      </c>
      <c r="J462" t="s">
        <v>26</v>
      </c>
      <c r="K462" t="s">
        <v>114</v>
      </c>
      <c r="L462" t="s">
        <v>53</v>
      </c>
      <c r="M462">
        <v>695.7</v>
      </c>
      <c r="N462">
        <v>2</v>
      </c>
      <c r="O462">
        <v>0.5</v>
      </c>
      <c r="P462">
        <v>-27.827999999999999</v>
      </c>
      <c r="Q462" s="1">
        <v>-0.04</v>
      </c>
      <c r="R462" t="s">
        <v>401</v>
      </c>
      <c r="S462" t="s">
        <v>402</v>
      </c>
    </row>
    <row r="463" spans="1:19" x14ac:dyDescent="0.3">
      <c r="A463">
        <v>1346</v>
      </c>
      <c r="B463" t="s">
        <v>1276</v>
      </c>
      <c r="C463">
        <v>2014</v>
      </c>
      <c r="D463" t="s">
        <v>447</v>
      </c>
      <c r="E463" t="s">
        <v>6</v>
      </c>
      <c r="F463" t="s">
        <v>133</v>
      </c>
      <c r="G463" t="s">
        <v>59</v>
      </c>
      <c r="H463" t="s">
        <v>38</v>
      </c>
      <c r="I463" t="s">
        <v>1277</v>
      </c>
      <c r="J463" t="s">
        <v>17</v>
      </c>
      <c r="K463" t="s">
        <v>29</v>
      </c>
      <c r="L463" t="s">
        <v>19</v>
      </c>
      <c r="M463">
        <v>93.78</v>
      </c>
      <c r="N463">
        <v>2</v>
      </c>
      <c r="O463">
        <v>0</v>
      </c>
      <c r="P463">
        <v>36.574199999999998</v>
      </c>
      <c r="Q463" s="1">
        <v>0.39</v>
      </c>
      <c r="R463" t="s">
        <v>4</v>
      </c>
      <c r="S463" t="s">
        <v>394</v>
      </c>
    </row>
    <row r="464" spans="1:19" x14ac:dyDescent="0.3">
      <c r="A464">
        <v>1351</v>
      </c>
      <c r="B464" t="s">
        <v>1278</v>
      </c>
      <c r="C464">
        <v>2014</v>
      </c>
      <c r="D464" t="s">
        <v>399</v>
      </c>
      <c r="E464" t="s">
        <v>6</v>
      </c>
      <c r="F464" t="s">
        <v>216</v>
      </c>
      <c r="G464" t="s">
        <v>56</v>
      </c>
      <c r="H464" t="s">
        <v>38</v>
      </c>
      <c r="I464" t="s">
        <v>1279</v>
      </c>
      <c r="J464" t="s">
        <v>10</v>
      </c>
      <c r="K464" t="s">
        <v>12</v>
      </c>
      <c r="L464" t="s">
        <v>5</v>
      </c>
      <c r="M464">
        <v>258.279</v>
      </c>
      <c r="N464">
        <v>3</v>
      </c>
      <c r="O464">
        <v>0.3</v>
      </c>
      <c r="P464">
        <v>-70.104299999999995</v>
      </c>
      <c r="Q464" s="1">
        <v>-0.27142857142857102</v>
      </c>
      <c r="R464" t="s">
        <v>401</v>
      </c>
      <c r="S464" t="s">
        <v>402</v>
      </c>
    </row>
    <row r="465" spans="1:19" x14ac:dyDescent="0.3">
      <c r="A465">
        <v>1352</v>
      </c>
      <c r="B465" t="s">
        <v>1280</v>
      </c>
      <c r="C465">
        <v>2016</v>
      </c>
      <c r="D465" t="s">
        <v>447</v>
      </c>
      <c r="E465" t="s">
        <v>13</v>
      </c>
      <c r="F465" t="s">
        <v>145</v>
      </c>
      <c r="G465" t="s">
        <v>74</v>
      </c>
      <c r="H465" t="s">
        <v>9</v>
      </c>
      <c r="I465" t="s">
        <v>1281</v>
      </c>
      <c r="J465" t="s">
        <v>17</v>
      </c>
      <c r="K465" t="s">
        <v>23</v>
      </c>
      <c r="L465" t="s">
        <v>53</v>
      </c>
      <c r="M465">
        <v>31.4</v>
      </c>
      <c r="N465">
        <v>2</v>
      </c>
      <c r="O465">
        <v>0</v>
      </c>
      <c r="P465">
        <v>7.85</v>
      </c>
      <c r="Q465" s="1">
        <v>0.25</v>
      </c>
      <c r="R465" t="s">
        <v>4</v>
      </c>
      <c r="S465" t="s">
        <v>394</v>
      </c>
    </row>
    <row r="466" spans="1:19" x14ac:dyDescent="0.3">
      <c r="A466">
        <v>1353</v>
      </c>
      <c r="B466" t="s">
        <v>1282</v>
      </c>
      <c r="C466">
        <v>2017</v>
      </c>
      <c r="D466" t="s">
        <v>417</v>
      </c>
      <c r="E466" t="s">
        <v>13</v>
      </c>
      <c r="F466" t="s">
        <v>43</v>
      </c>
      <c r="G466" t="s">
        <v>15</v>
      </c>
      <c r="H466" t="s">
        <v>16</v>
      </c>
      <c r="I466" t="s">
        <v>1283</v>
      </c>
      <c r="J466" t="s">
        <v>26</v>
      </c>
      <c r="K466" t="s">
        <v>27</v>
      </c>
      <c r="L466" t="s">
        <v>19</v>
      </c>
      <c r="M466">
        <v>183.96</v>
      </c>
      <c r="N466">
        <v>5</v>
      </c>
      <c r="O466">
        <v>0.2</v>
      </c>
      <c r="P466">
        <v>20.695499999999999</v>
      </c>
      <c r="Q466" s="1">
        <v>0.1125</v>
      </c>
      <c r="R466" t="s">
        <v>4</v>
      </c>
      <c r="S466" t="s">
        <v>408</v>
      </c>
    </row>
    <row r="467" spans="1:19" x14ac:dyDescent="0.3">
      <c r="A467">
        <v>1358</v>
      </c>
      <c r="B467" t="s">
        <v>1284</v>
      </c>
      <c r="C467">
        <v>2016</v>
      </c>
      <c r="D467" t="s">
        <v>417</v>
      </c>
      <c r="E467" t="s">
        <v>6</v>
      </c>
      <c r="F467" t="s">
        <v>173</v>
      </c>
      <c r="G467" t="s">
        <v>8</v>
      </c>
      <c r="H467" t="s">
        <v>9</v>
      </c>
      <c r="I467" t="s">
        <v>1285</v>
      </c>
      <c r="J467" t="s">
        <v>17</v>
      </c>
      <c r="K467" t="s">
        <v>32</v>
      </c>
      <c r="L467" t="s">
        <v>53</v>
      </c>
      <c r="M467">
        <v>79.14</v>
      </c>
      <c r="N467">
        <v>3</v>
      </c>
      <c r="O467">
        <v>0</v>
      </c>
      <c r="P467">
        <v>36.404400000000003</v>
      </c>
      <c r="Q467" s="1">
        <v>0.46</v>
      </c>
      <c r="R467" t="s">
        <v>4</v>
      </c>
      <c r="S467" t="s">
        <v>394</v>
      </c>
    </row>
    <row r="468" spans="1:19" x14ac:dyDescent="0.3">
      <c r="A468">
        <v>1359</v>
      </c>
      <c r="B468" t="s">
        <v>1286</v>
      </c>
      <c r="C468">
        <v>2017</v>
      </c>
      <c r="D468" t="s">
        <v>406</v>
      </c>
      <c r="E468" t="s">
        <v>6</v>
      </c>
      <c r="F468" t="s">
        <v>36</v>
      </c>
      <c r="G468" t="s">
        <v>37</v>
      </c>
      <c r="H468" t="s">
        <v>38</v>
      </c>
      <c r="I468" t="s">
        <v>924</v>
      </c>
      <c r="J468" t="s">
        <v>10</v>
      </c>
      <c r="K468" t="s">
        <v>24</v>
      </c>
      <c r="L468" t="s">
        <v>53</v>
      </c>
      <c r="M468">
        <v>1.988</v>
      </c>
      <c r="N468">
        <v>1</v>
      </c>
      <c r="O468">
        <v>0.6</v>
      </c>
      <c r="P468">
        <v>-1.4413</v>
      </c>
      <c r="Q468" s="1">
        <v>-0.72499999999999998</v>
      </c>
      <c r="R468" t="s">
        <v>401</v>
      </c>
      <c r="S468" t="s">
        <v>402</v>
      </c>
    </row>
    <row r="469" spans="1:19" x14ac:dyDescent="0.3">
      <c r="A469">
        <v>1360</v>
      </c>
      <c r="B469" t="s">
        <v>1287</v>
      </c>
      <c r="C469">
        <v>2014</v>
      </c>
      <c r="D469" t="s">
        <v>428</v>
      </c>
      <c r="E469" t="s">
        <v>6</v>
      </c>
      <c r="F469" t="s">
        <v>14</v>
      </c>
      <c r="G469" t="s">
        <v>15</v>
      </c>
      <c r="H469" t="s">
        <v>16</v>
      </c>
      <c r="I469" t="s">
        <v>1288</v>
      </c>
      <c r="J469" t="s">
        <v>10</v>
      </c>
      <c r="K469" t="s">
        <v>12</v>
      </c>
      <c r="L469" t="s">
        <v>5</v>
      </c>
      <c r="M469">
        <v>145.56800000000001</v>
      </c>
      <c r="N469">
        <v>2</v>
      </c>
      <c r="O469">
        <v>0.2</v>
      </c>
      <c r="P469">
        <v>0</v>
      </c>
      <c r="Q469" s="1">
        <v>0</v>
      </c>
      <c r="R469" t="s">
        <v>4</v>
      </c>
      <c r="S469" t="s">
        <v>408</v>
      </c>
    </row>
    <row r="470" spans="1:19" x14ac:dyDescent="0.3">
      <c r="A470">
        <v>1364</v>
      </c>
      <c r="B470" t="s">
        <v>1289</v>
      </c>
      <c r="C470">
        <v>2017</v>
      </c>
      <c r="D470" t="s">
        <v>392</v>
      </c>
      <c r="E470" t="s">
        <v>13</v>
      </c>
      <c r="F470" t="s">
        <v>161</v>
      </c>
      <c r="G470" t="s">
        <v>72</v>
      </c>
      <c r="H470" t="s">
        <v>16</v>
      </c>
      <c r="I470" t="s">
        <v>961</v>
      </c>
      <c r="J470" t="s">
        <v>17</v>
      </c>
      <c r="K470" t="s">
        <v>28</v>
      </c>
      <c r="L470" t="s">
        <v>53</v>
      </c>
      <c r="M470">
        <v>38.387999999999998</v>
      </c>
      <c r="N470">
        <v>14</v>
      </c>
      <c r="O470">
        <v>0.7</v>
      </c>
      <c r="P470">
        <v>-25.591999999999999</v>
      </c>
      <c r="Q470" s="1">
        <v>-0.66666666666666696</v>
      </c>
      <c r="R470" t="s">
        <v>401</v>
      </c>
      <c r="S470" t="s">
        <v>402</v>
      </c>
    </row>
    <row r="471" spans="1:19" x14ac:dyDescent="0.3">
      <c r="A471">
        <v>1372</v>
      </c>
      <c r="B471" t="s">
        <v>1290</v>
      </c>
      <c r="C471">
        <v>2017</v>
      </c>
      <c r="D471" t="s">
        <v>447</v>
      </c>
      <c r="E471" t="s">
        <v>35</v>
      </c>
      <c r="F471" t="s">
        <v>246</v>
      </c>
      <c r="G471" t="s">
        <v>231</v>
      </c>
      <c r="H471" t="s">
        <v>48</v>
      </c>
      <c r="I471" t="s">
        <v>1291</v>
      </c>
      <c r="J471" t="s">
        <v>26</v>
      </c>
      <c r="K471" t="s">
        <v>50</v>
      </c>
      <c r="L471" t="s">
        <v>19</v>
      </c>
      <c r="M471">
        <v>49.08</v>
      </c>
      <c r="N471">
        <v>3</v>
      </c>
      <c r="O471">
        <v>0</v>
      </c>
      <c r="P471">
        <v>4.9080000000000004</v>
      </c>
      <c r="Q471" s="1">
        <v>0.1</v>
      </c>
      <c r="R471" t="s">
        <v>4</v>
      </c>
      <c r="S471" t="s">
        <v>394</v>
      </c>
    </row>
    <row r="472" spans="1:19" x14ac:dyDescent="0.3">
      <c r="A472">
        <v>1373</v>
      </c>
      <c r="B472" t="s">
        <v>1292</v>
      </c>
      <c r="C472">
        <v>2014</v>
      </c>
      <c r="D472" t="s">
        <v>406</v>
      </c>
      <c r="E472" t="s">
        <v>6</v>
      </c>
      <c r="F472" t="s">
        <v>203</v>
      </c>
      <c r="G472" t="s">
        <v>15</v>
      </c>
      <c r="H472" t="s">
        <v>16</v>
      </c>
      <c r="I472" t="s">
        <v>1293</v>
      </c>
      <c r="J472" t="s">
        <v>17</v>
      </c>
      <c r="K472" t="s">
        <v>18</v>
      </c>
      <c r="L472" t="s">
        <v>5</v>
      </c>
      <c r="M472">
        <v>29.6</v>
      </c>
      <c r="N472">
        <v>2</v>
      </c>
      <c r="O472">
        <v>0</v>
      </c>
      <c r="P472">
        <v>14.8</v>
      </c>
      <c r="Q472" s="1">
        <v>0.5</v>
      </c>
      <c r="R472" t="s">
        <v>4</v>
      </c>
      <c r="S472" t="s">
        <v>394</v>
      </c>
    </row>
    <row r="473" spans="1:19" x14ac:dyDescent="0.3">
      <c r="A473">
        <v>1375</v>
      </c>
      <c r="B473" t="s">
        <v>1294</v>
      </c>
      <c r="C473">
        <v>2015</v>
      </c>
      <c r="D473" t="s">
        <v>428</v>
      </c>
      <c r="E473" t="s">
        <v>6</v>
      </c>
      <c r="F473" t="s">
        <v>267</v>
      </c>
      <c r="G473" t="s">
        <v>42</v>
      </c>
      <c r="H473" t="s">
        <v>16</v>
      </c>
      <c r="I473" t="s">
        <v>1295</v>
      </c>
      <c r="J473" t="s">
        <v>10</v>
      </c>
      <c r="K473" t="s">
        <v>22</v>
      </c>
      <c r="L473" t="s">
        <v>19</v>
      </c>
      <c r="M473">
        <v>912.75</v>
      </c>
      <c r="N473">
        <v>5</v>
      </c>
      <c r="O473">
        <v>0</v>
      </c>
      <c r="P473">
        <v>118.6575</v>
      </c>
      <c r="Q473" s="1">
        <v>0.13</v>
      </c>
      <c r="R473" t="s">
        <v>4</v>
      </c>
      <c r="S473" t="s">
        <v>394</v>
      </c>
    </row>
    <row r="474" spans="1:19" x14ac:dyDescent="0.3">
      <c r="A474">
        <v>1376</v>
      </c>
      <c r="B474" t="s">
        <v>1296</v>
      </c>
      <c r="C474">
        <v>2014</v>
      </c>
      <c r="D474" t="s">
        <v>420</v>
      </c>
      <c r="E474" t="s">
        <v>6</v>
      </c>
      <c r="F474" t="s">
        <v>268</v>
      </c>
      <c r="G474" t="s">
        <v>42</v>
      </c>
      <c r="H474" t="s">
        <v>16</v>
      </c>
      <c r="I474" t="s">
        <v>1297</v>
      </c>
      <c r="J474" t="s">
        <v>17</v>
      </c>
      <c r="K474" t="s">
        <v>29</v>
      </c>
      <c r="L474" t="s">
        <v>5</v>
      </c>
      <c r="M474">
        <v>1089.75</v>
      </c>
      <c r="N474">
        <v>3</v>
      </c>
      <c r="O474">
        <v>0</v>
      </c>
      <c r="P474">
        <v>305.13</v>
      </c>
      <c r="Q474" s="1">
        <v>0.28000000000000003</v>
      </c>
      <c r="R474" t="s">
        <v>4</v>
      </c>
      <c r="S474" t="s">
        <v>394</v>
      </c>
    </row>
    <row r="475" spans="1:19" x14ac:dyDescent="0.3">
      <c r="A475">
        <v>1383</v>
      </c>
      <c r="B475" t="s">
        <v>1298</v>
      </c>
      <c r="C475">
        <v>2016</v>
      </c>
      <c r="D475" t="s">
        <v>529</v>
      </c>
      <c r="E475" t="s">
        <v>35</v>
      </c>
      <c r="F475" t="s">
        <v>269</v>
      </c>
      <c r="G475" t="s">
        <v>157</v>
      </c>
      <c r="H475" t="s">
        <v>9</v>
      </c>
      <c r="I475" t="s">
        <v>1299</v>
      </c>
      <c r="J475" t="s">
        <v>17</v>
      </c>
      <c r="K475" t="s">
        <v>23</v>
      </c>
      <c r="L475" t="s">
        <v>158</v>
      </c>
      <c r="M475">
        <v>80.98</v>
      </c>
      <c r="N475">
        <v>1</v>
      </c>
      <c r="O475">
        <v>0</v>
      </c>
      <c r="P475">
        <v>1.6195999999999999</v>
      </c>
      <c r="Q475" s="1">
        <v>0.02</v>
      </c>
      <c r="R475" t="s">
        <v>4</v>
      </c>
      <c r="S475" t="s">
        <v>394</v>
      </c>
    </row>
    <row r="476" spans="1:19" x14ac:dyDescent="0.3">
      <c r="A476">
        <v>1401</v>
      </c>
      <c r="B476" t="s">
        <v>1300</v>
      </c>
      <c r="C476">
        <v>2016</v>
      </c>
      <c r="D476" t="s">
        <v>392</v>
      </c>
      <c r="E476" t="s">
        <v>35</v>
      </c>
      <c r="F476" t="s">
        <v>198</v>
      </c>
      <c r="G476" t="s">
        <v>74</v>
      </c>
      <c r="H476" t="s">
        <v>9</v>
      </c>
      <c r="I476" t="s">
        <v>1301</v>
      </c>
      <c r="J476" t="s">
        <v>26</v>
      </c>
      <c r="K476" t="s">
        <v>27</v>
      </c>
      <c r="L476" t="s">
        <v>19</v>
      </c>
      <c r="M476">
        <v>21.8</v>
      </c>
      <c r="N476">
        <v>2</v>
      </c>
      <c r="O476">
        <v>0</v>
      </c>
      <c r="P476">
        <v>6.1040000000000001</v>
      </c>
      <c r="Q476" s="1">
        <v>0.28000000000000003</v>
      </c>
      <c r="R476" t="s">
        <v>4</v>
      </c>
      <c r="S476" t="s">
        <v>394</v>
      </c>
    </row>
    <row r="477" spans="1:19" x14ac:dyDescent="0.3">
      <c r="A477">
        <v>1403</v>
      </c>
      <c r="B477" t="s">
        <v>1302</v>
      </c>
      <c r="C477">
        <v>2016</v>
      </c>
      <c r="D477" t="s">
        <v>406</v>
      </c>
      <c r="E477" t="s">
        <v>35</v>
      </c>
      <c r="F477" t="s">
        <v>94</v>
      </c>
      <c r="G477" t="s">
        <v>95</v>
      </c>
      <c r="H477" t="s">
        <v>48</v>
      </c>
      <c r="I477" t="s">
        <v>1303</v>
      </c>
      <c r="J477" t="s">
        <v>10</v>
      </c>
      <c r="K477" t="s">
        <v>22</v>
      </c>
      <c r="L477" t="s">
        <v>19</v>
      </c>
      <c r="M477">
        <v>205.17599999999999</v>
      </c>
      <c r="N477">
        <v>2</v>
      </c>
      <c r="O477">
        <v>0.4</v>
      </c>
      <c r="P477">
        <v>-58.133200000000002</v>
      </c>
      <c r="Q477" s="1">
        <v>-0.28333333333333299</v>
      </c>
      <c r="R477" t="s">
        <v>401</v>
      </c>
      <c r="S477" t="s">
        <v>402</v>
      </c>
    </row>
    <row r="478" spans="1:19" x14ac:dyDescent="0.3">
      <c r="A478">
        <v>1408</v>
      </c>
      <c r="B478" t="s">
        <v>1304</v>
      </c>
      <c r="C478">
        <v>2016</v>
      </c>
      <c r="D478" t="s">
        <v>428</v>
      </c>
      <c r="E478" t="s">
        <v>6</v>
      </c>
      <c r="F478" t="s">
        <v>66</v>
      </c>
      <c r="G478" t="s">
        <v>67</v>
      </c>
      <c r="H478" t="s">
        <v>48</v>
      </c>
      <c r="I478" t="s">
        <v>1305</v>
      </c>
      <c r="J478" t="s">
        <v>17</v>
      </c>
      <c r="K478" t="s">
        <v>25</v>
      </c>
      <c r="L478" t="s">
        <v>19</v>
      </c>
      <c r="M478">
        <v>75.48</v>
      </c>
      <c r="N478">
        <v>2</v>
      </c>
      <c r="O478">
        <v>0</v>
      </c>
      <c r="P478">
        <v>19.6248</v>
      </c>
      <c r="Q478" s="1">
        <v>0.26</v>
      </c>
      <c r="R478" t="s">
        <v>4</v>
      </c>
      <c r="S478" t="s">
        <v>394</v>
      </c>
    </row>
    <row r="479" spans="1:19" x14ac:dyDescent="0.3">
      <c r="A479">
        <v>1410</v>
      </c>
      <c r="B479" t="s">
        <v>1306</v>
      </c>
      <c r="C479">
        <v>2016</v>
      </c>
      <c r="D479" t="s">
        <v>428</v>
      </c>
      <c r="E479" t="s">
        <v>6</v>
      </c>
      <c r="F479" t="s">
        <v>99</v>
      </c>
      <c r="G479" t="s">
        <v>72</v>
      </c>
      <c r="H479" t="s">
        <v>16</v>
      </c>
      <c r="I479" t="s">
        <v>1081</v>
      </c>
      <c r="J479" t="s">
        <v>10</v>
      </c>
      <c r="K479" t="s">
        <v>22</v>
      </c>
      <c r="L479" t="s">
        <v>19</v>
      </c>
      <c r="M479">
        <v>393.16500000000002</v>
      </c>
      <c r="N479">
        <v>3</v>
      </c>
      <c r="O479">
        <v>0.5</v>
      </c>
      <c r="P479">
        <v>-204.44579999999999</v>
      </c>
      <c r="Q479" s="1">
        <v>-0.52</v>
      </c>
      <c r="R479" t="s">
        <v>401</v>
      </c>
      <c r="S479" t="s">
        <v>402</v>
      </c>
    </row>
    <row r="480" spans="1:19" x14ac:dyDescent="0.3">
      <c r="A480">
        <v>1412</v>
      </c>
      <c r="B480" t="s">
        <v>1307</v>
      </c>
      <c r="C480">
        <v>2016</v>
      </c>
      <c r="D480" t="s">
        <v>425</v>
      </c>
      <c r="E480" t="s">
        <v>13</v>
      </c>
      <c r="F480" t="s">
        <v>66</v>
      </c>
      <c r="G480" t="s">
        <v>67</v>
      </c>
      <c r="H480" t="s">
        <v>48</v>
      </c>
      <c r="I480" t="s">
        <v>965</v>
      </c>
      <c r="J480" t="s">
        <v>10</v>
      </c>
      <c r="K480" t="s">
        <v>12</v>
      </c>
      <c r="L480" t="s">
        <v>19</v>
      </c>
      <c r="M480">
        <v>408.00599999999997</v>
      </c>
      <c r="N480">
        <v>2</v>
      </c>
      <c r="O480">
        <v>0.1</v>
      </c>
      <c r="P480">
        <v>72.534400000000005</v>
      </c>
      <c r="Q480" s="1">
        <v>0.17777777777777801</v>
      </c>
      <c r="R480" t="s">
        <v>4</v>
      </c>
      <c r="S480" t="s">
        <v>394</v>
      </c>
    </row>
    <row r="481" spans="1:19" x14ac:dyDescent="0.3">
      <c r="A481">
        <v>1414</v>
      </c>
      <c r="B481" t="s">
        <v>1308</v>
      </c>
      <c r="C481">
        <v>2014</v>
      </c>
      <c r="D481" t="s">
        <v>396</v>
      </c>
      <c r="E481" t="s">
        <v>6</v>
      </c>
      <c r="F481" t="s">
        <v>66</v>
      </c>
      <c r="G481" t="s">
        <v>67</v>
      </c>
      <c r="H481" t="s">
        <v>48</v>
      </c>
      <c r="I481" t="s">
        <v>1309</v>
      </c>
      <c r="J481" t="s">
        <v>17</v>
      </c>
      <c r="K481" t="s">
        <v>28</v>
      </c>
      <c r="L481" t="s">
        <v>19</v>
      </c>
      <c r="M481">
        <v>334.76799999999997</v>
      </c>
      <c r="N481">
        <v>7</v>
      </c>
      <c r="O481">
        <v>0.2</v>
      </c>
      <c r="P481">
        <v>108.7996</v>
      </c>
      <c r="Q481" s="1">
        <v>0.32500000000000001</v>
      </c>
      <c r="R481" t="s">
        <v>4</v>
      </c>
      <c r="S481" t="s">
        <v>408</v>
      </c>
    </row>
    <row r="482" spans="1:19" x14ac:dyDescent="0.3">
      <c r="A482">
        <v>1415</v>
      </c>
      <c r="B482" t="s">
        <v>1310</v>
      </c>
      <c r="C482">
        <v>2017</v>
      </c>
      <c r="D482" t="s">
        <v>430</v>
      </c>
      <c r="E482" t="s">
        <v>35</v>
      </c>
      <c r="F482" t="s">
        <v>187</v>
      </c>
      <c r="G482" t="s">
        <v>15</v>
      </c>
      <c r="H482" t="s">
        <v>16</v>
      </c>
      <c r="I482" t="s">
        <v>1311</v>
      </c>
      <c r="J482" t="s">
        <v>26</v>
      </c>
      <c r="K482" t="s">
        <v>50</v>
      </c>
      <c r="L482" t="s">
        <v>5</v>
      </c>
      <c r="M482">
        <v>239.97</v>
      </c>
      <c r="N482">
        <v>3</v>
      </c>
      <c r="O482">
        <v>0</v>
      </c>
      <c r="P482">
        <v>26.396699999999999</v>
      </c>
      <c r="Q482" s="1">
        <v>0.11</v>
      </c>
      <c r="R482" t="s">
        <v>4</v>
      </c>
      <c r="S482" t="s">
        <v>394</v>
      </c>
    </row>
    <row r="483" spans="1:19" x14ac:dyDescent="0.3">
      <c r="A483">
        <v>1417</v>
      </c>
      <c r="B483" t="s">
        <v>1312</v>
      </c>
      <c r="C483">
        <v>2015</v>
      </c>
      <c r="D483" t="s">
        <v>428</v>
      </c>
      <c r="E483" t="s">
        <v>13</v>
      </c>
      <c r="F483" t="s">
        <v>52</v>
      </c>
      <c r="G483" t="s">
        <v>37</v>
      </c>
      <c r="H483" t="s">
        <v>38</v>
      </c>
      <c r="I483" t="s">
        <v>1313</v>
      </c>
      <c r="J483" t="s">
        <v>26</v>
      </c>
      <c r="K483" t="s">
        <v>27</v>
      </c>
      <c r="L483" t="s">
        <v>53</v>
      </c>
      <c r="M483">
        <v>946.34400000000005</v>
      </c>
      <c r="N483">
        <v>7</v>
      </c>
      <c r="O483">
        <v>0.2</v>
      </c>
      <c r="P483">
        <v>118.29300000000001</v>
      </c>
      <c r="Q483" s="1">
        <v>0.125</v>
      </c>
      <c r="R483" t="s">
        <v>4</v>
      </c>
      <c r="S483" t="s">
        <v>408</v>
      </c>
    </row>
    <row r="484" spans="1:19" x14ac:dyDescent="0.3">
      <c r="A484">
        <v>1435</v>
      </c>
      <c r="B484" t="s">
        <v>1314</v>
      </c>
      <c r="C484">
        <v>2016</v>
      </c>
      <c r="D484" t="s">
        <v>410</v>
      </c>
      <c r="E484" t="s">
        <v>6</v>
      </c>
      <c r="F484" t="s">
        <v>33</v>
      </c>
      <c r="G484" t="s">
        <v>34</v>
      </c>
      <c r="H484" t="s">
        <v>16</v>
      </c>
      <c r="I484" t="s">
        <v>1315</v>
      </c>
      <c r="J484" t="s">
        <v>17</v>
      </c>
      <c r="K484" t="s">
        <v>32</v>
      </c>
      <c r="L484" t="s">
        <v>19</v>
      </c>
      <c r="M484">
        <v>33.9</v>
      </c>
      <c r="N484">
        <v>5</v>
      </c>
      <c r="O484">
        <v>0</v>
      </c>
      <c r="P484">
        <v>15.593999999999999</v>
      </c>
      <c r="Q484" s="1">
        <v>0.46</v>
      </c>
      <c r="R484" t="s">
        <v>4</v>
      </c>
      <c r="S484" t="s">
        <v>394</v>
      </c>
    </row>
    <row r="485" spans="1:19" x14ac:dyDescent="0.3">
      <c r="A485">
        <v>1440</v>
      </c>
      <c r="B485" t="s">
        <v>1316</v>
      </c>
      <c r="C485">
        <v>2017</v>
      </c>
      <c r="D485" t="s">
        <v>406</v>
      </c>
      <c r="E485" t="s">
        <v>6</v>
      </c>
      <c r="F485" t="s">
        <v>262</v>
      </c>
      <c r="G485" t="s">
        <v>169</v>
      </c>
      <c r="H485" t="s">
        <v>48</v>
      </c>
      <c r="I485" t="s">
        <v>1317</v>
      </c>
      <c r="J485" t="s">
        <v>17</v>
      </c>
      <c r="K485" t="s">
        <v>28</v>
      </c>
      <c r="L485" t="s">
        <v>5</v>
      </c>
      <c r="M485">
        <v>29.7</v>
      </c>
      <c r="N485">
        <v>5</v>
      </c>
      <c r="O485">
        <v>0</v>
      </c>
      <c r="P485">
        <v>13.365</v>
      </c>
      <c r="Q485" s="1">
        <v>0.45</v>
      </c>
      <c r="R485" t="s">
        <v>4</v>
      </c>
      <c r="S485" t="s">
        <v>394</v>
      </c>
    </row>
    <row r="486" spans="1:19" x14ac:dyDescent="0.3">
      <c r="A486">
        <v>1442</v>
      </c>
      <c r="B486" t="s">
        <v>1318</v>
      </c>
      <c r="C486">
        <v>2017</v>
      </c>
      <c r="D486" t="s">
        <v>410</v>
      </c>
      <c r="E486" t="s">
        <v>6</v>
      </c>
      <c r="F486" t="s">
        <v>43</v>
      </c>
      <c r="G486" t="s">
        <v>15</v>
      </c>
      <c r="H486" t="s">
        <v>16</v>
      </c>
      <c r="I486" t="s">
        <v>1319</v>
      </c>
      <c r="J486" t="s">
        <v>17</v>
      </c>
      <c r="K486" t="s">
        <v>28</v>
      </c>
      <c r="L486" t="s">
        <v>5</v>
      </c>
      <c r="M486">
        <v>36.671999999999997</v>
      </c>
      <c r="N486">
        <v>2</v>
      </c>
      <c r="O486">
        <v>0.2</v>
      </c>
      <c r="P486">
        <v>11.46</v>
      </c>
      <c r="Q486" s="1">
        <v>0.3125</v>
      </c>
      <c r="R486" t="s">
        <v>4</v>
      </c>
      <c r="S486" t="s">
        <v>408</v>
      </c>
    </row>
    <row r="487" spans="1:19" x14ac:dyDescent="0.3">
      <c r="A487">
        <v>1443</v>
      </c>
      <c r="B487" t="s">
        <v>1320</v>
      </c>
      <c r="C487">
        <v>2017</v>
      </c>
      <c r="D487" t="s">
        <v>420</v>
      </c>
      <c r="E487" t="s">
        <v>13</v>
      </c>
      <c r="F487" t="s">
        <v>172</v>
      </c>
      <c r="G487" t="s">
        <v>8</v>
      </c>
      <c r="H487" t="s">
        <v>9</v>
      </c>
      <c r="I487" t="s">
        <v>1321</v>
      </c>
      <c r="J487" t="s">
        <v>17</v>
      </c>
      <c r="K487" t="s">
        <v>32</v>
      </c>
      <c r="L487" t="s">
        <v>53</v>
      </c>
      <c r="M487">
        <v>13.76</v>
      </c>
      <c r="N487">
        <v>2</v>
      </c>
      <c r="O487">
        <v>0</v>
      </c>
      <c r="P487">
        <v>6.3296000000000001</v>
      </c>
      <c r="Q487" s="1">
        <v>0.46</v>
      </c>
      <c r="R487" t="s">
        <v>4</v>
      </c>
      <c r="S487" t="s">
        <v>394</v>
      </c>
    </row>
    <row r="488" spans="1:19" x14ac:dyDescent="0.3">
      <c r="A488">
        <v>1444</v>
      </c>
      <c r="B488" t="s">
        <v>1322</v>
      </c>
      <c r="C488">
        <v>2015</v>
      </c>
      <c r="D488" t="s">
        <v>399</v>
      </c>
      <c r="E488" t="s">
        <v>13</v>
      </c>
      <c r="F488" t="s">
        <v>88</v>
      </c>
      <c r="G488" t="s">
        <v>89</v>
      </c>
      <c r="H488" t="s">
        <v>16</v>
      </c>
      <c r="I488" t="s">
        <v>849</v>
      </c>
      <c r="J488" t="s">
        <v>17</v>
      </c>
      <c r="K488" t="s">
        <v>23</v>
      </c>
      <c r="L488" t="s">
        <v>19</v>
      </c>
      <c r="M488">
        <v>139.42400000000001</v>
      </c>
      <c r="N488">
        <v>4</v>
      </c>
      <c r="O488">
        <v>0.2</v>
      </c>
      <c r="P488">
        <v>17.428000000000001</v>
      </c>
      <c r="Q488" s="1">
        <v>0.125</v>
      </c>
      <c r="R488" t="s">
        <v>4</v>
      </c>
      <c r="S488" t="s">
        <v>408</v>
      </c>
    </row>
    <row r="489" spans="1:19" x14ac:dyDescent="0.3">
      <c r="A489">
        <v>1446</v>
      </c>
      <c r="B489" t="s">
        <v>1323</v>
      </c>
      <c r="C489">
        <v>2017</v>
      </c>
      <c r="D489" t="s">
        <v>396</v>
      </c>
      <c r="E489" t="s">
        <v>35</v>
      </c>
      <c r="F489" t="s">
        <v>70</v>
      </c>
      <c r="G489" t="s">
        <v>56</v>
      </c>
      <c r="H489" t="s">
        <v>38</v>
      </c>
      <c r="I489" t="s">
        <v>1324</v>
      </c>
      <c r="J489" t="s">
        <v>17</v>
      </c>
      <c r="K489" t="s">
        <v>23</v>
      </c>
      <c r="L489" t="s">
        <v>53</v>
      </c>
      <c r="M489">
        <v>164.73599999999999</v>
      </c>
      <c r="N489">
        <v>4</v>
      </c>
      <c r="O489">
        <v>0.2</v>
      </c>
      <c r="P489">
        <v>-39.1248</v>
      </c>
      <c r="Q489" s="1">
        <v>-0.23749999999999999</v>
      </c>
      <c r="R489" t="s">
        <v>401</v>
      </c>
      <c r="S489" t="s">
        <v>408</v>
      </c>
    </row>
    <row r="490" spans="1:19" x14ac:dyDescent="0.3">
      <c r="A490">
        <v>1449</v>
      </c>
      <c r="B490" t="s">
        <v>1325</v>
      </c>
      <c r="C490">
        <v>2014</v>
      </c>
      <c r="D490" t="s">
        <v>406</v>
      </c>
      <c r="E490" t="s">
        <v>13</v>
      </c>
      <c r="F490" t="s">
        <v>46</v>
      </c>
      <c r="G490" t="s">
        <v>47</v>
      </c>
      <c r="H490" t="s">
        <v>48</v>
      </c>
      <c r="I490" t="s">
        <v>1326</v>
      </c>
      <c r="J490" t="s">
        <v>17</v>
      </c>
      <c r="K490" t="s">
        <v>28</v>
      </c>
      <c r="L490" t="s">
        <v>53</v>
      </c>
      <c r="M490">
        <v>2.5019999999999998</v>
      </c>
      <c r="N490">
        <v>3</v>
      </c>
      <c r="O490">
        <v>0.7</v>
      </c>
      <c r="P490">
        <v>-1.7514000000000001</v>
      </c>
      <c r="Q490" s="1">
        <v>-0.7</v>
      </c>
      <c r="R490" t="s">
        <v>401</v>
      </c>
      <c r="S490" t="s">
        <v>402</v>
      </c>
    </row>
    <row r="491" spans="1:19" x14ac:dyDescent="0.3">
      <c r="A491">
        <v>1450</v>
      </c>
      <c r="B491" t="s">
        <v>1327</v>
      </c>
      <c r="C491">
        <v>2015</v>
      </c>
      <c r="D491" t="s">
        <v>417</v>
      </c>
      <c r="E491" t="s">
        <v>13</v>
      </c>
      <c r="F491" t="s">
        <v>14</v>
      </c>
      <c r="G491" t="s">
        <v>15</v>
      </c>
      <c r="H491" t="s">
        <v>16</v>
      </c>
      <c r="I491" t="s">
        <v>1328</v>
      </c>
      <c r="J491" t="s">
        <v>26</v>
      </c>
      <c r="K491" t="s">
        <v>27</v>
      </c>
      <c r="L491" t="s">
        <v>19</v>
      </c>
      <c r="M491">
        <v>88.751999999999995</v>
      </c>
      <c r="N491">
        <v>3</v>
      </c>
      <c r="O491">
        <v>0.2</v>
      </c>
      <c r="P491">
        <v>11.093999999999999</v>
      </c>
      <c r="Q491" s="1">
        <v>0.125</v>
      </c>
      <c r="R491" t="s">
        <v>4</v>
      </c>
      <c r="S491" t="s">
        <v>408</v>
      </c>
    </row>
    <row r="492" spans="1:19" x14ac:dyDescent="0.3">
      <c r="A492">
        <v>1451</v>
      </c>
      <c r="B492" t="s">
        <v>1329</v>
      </c>
      <c r="C492">
        <v>2015</v>
      </c>
      <c r="D492" t="s">
        <v>425</v>
      </c>
      <c r="E492" t="s">
        <v>6</v>
      </c>
      <c r="F492" t="s">
        <v>99</v>
      </c>
      <c r="G492" t="s">
        <v>72</v>
      </c>
      <c r="H492" t="s">
        <v>16</v>
      </c>
      <c r="I492" t="s">
        <v>1330</v>
      </c>
      <c r="J492" t="s">
        <v>17</v>
      </c>
      <c r="K492" t="s">
        <v>28</v>
      </c>
      <c r="L492" t="s">
        <v>53</v>
      </c>
      <c r="M492">
        <v>2.0249999999999999</v>
      </c>
      <c r="N492">
        <v>1</v>
      </c>
      <c r="O492">
        <v>0.7</v>
      </c>
      <c r="P492">
        <v>-1.35</v>
      </c>
      <c r="Q492" s="1">
        <v>-0.66666666666666696</v>
      </c>
      <c r="R492" t="s">
        <v>401</v>
      </c>
      <c r="S492" t="s">
        <v>402</v>
      </c>
    </row>
    <row r="493" spans="1:19" x14ac:dyDescent="0.3">
      <c r="A493">
        <v>1452</v>
      </c>
      <c r="B493" t="s">
        <v>1331</v>
      </c>
      <c r="C493">
        <v>2016</v>
      </c>
      <c r="D493" t="s">
        <v>392</v>
      </c>
      <c r="E493" t="s">
        <v>13</v>
      </c>
      <c r="F493" t="s">
        <v>270</v>
      </c>
      <c r="G493" t="s">
        <v>79</v>
      </c>
      <c r="H493" t="s">
        <v>9</v>
      </c>
      <c r="I493" t="s">
        <v>1332</v>
      </c>
      <c r="J493" t="s">
        <v>17</v>
      </c>
      <c r="K493" t="s">
        <v>32</v>
      </c>
      <c r="L493" t="s">
        <v>53</v>
      </c>
      <c r="M493">
        <v>70.98</v>
      </c>
      <c r="N493">
        <v>7</v>
      </c>
      <c r="O493">
        <v>0</v>
      </c>
      <c r="P493">
        <v>34.780200000000001</v>
      </c>
      <c r="Q493" s="1">
        <v>0.49</v>
      </c>
      <c r="R493" t="s">
        <v>4</v>
      </c>
      <c r="S493" t="s">
        <v>394</v>
      </c>
    </row>
    <row r="494" spans="1:19" x14ac:dyDescent="0.3">
      <c r="A494">
        <v>1456</v>
      </c>
      <c r="B494" t="s">
        <v>1333</v>
      </c>
      <c r="C494">
        <v>2017</v>
      </c>
      <c r="D494" t="s">
        <v>396</v>
      </c>
      <c r="E494" t="s">
        <v>35</v>
      </c>
      <c r="F494" t="s">
        <v>94</v>
      </c>
      <c r="G494" t="s">
        <v>157</v>
      </c>
      <c r="H494" t="s">
        <v>9</v>
      </c>
      <c r="I494" t="s">
        <v>1334</v>
      </c>
      <c r="J494" t="s">
        <v>17</v>
      </c>
      <c r="K494" t="s">
        <v>28</v>
      </c>
      <c r="L494" t="s">
        <v>19</v>
      </c>
      <c r="M494">
        <v>91.2</v>
      </c>
      <c r="N494">
        <v>3</v>
      </c>
      <c r="O494">
        <v>0</v>
      </c>
      <c r="P494">
        <v>41.951999999999998</v>
      </c>
      <c r="Q494" s="1">
        <v>0.46</v>
      </c>
      <c r="R494" t="s">
        <v>4</v>
      </c>
      <c r="S494" t="s">
        <v>394</v>
      </c>
    </row>
    <row r="495" spans="1:19" x14ac:dyDescent="0.3">
      <c r="A495">
        <v>1458</v>
      </c>
      <c r="B495" t="s">
        <v>1335</v>
      </c>
      <c r="C495">
        <v>2015</v>
      </c>
      <c r="D495" t="s">
        <v>420</v>
      </c>
      <c r="E495" t="s">
        <v>13</v>
      </c>
      <c r="F495" t="s">
        <v>271</v>
      </c>
      <c r="G495" t="s">
        <v>156</v>
      </c>
      <c r="H495" t="s">
        <v>48</v>
      </c>
      <c r="I495" t="s">
        <v>693</v>
      </c>
      <c r="J495" t="s">
        <v>17</v>
      </c>
      <c r="K495" t="s">
        <v>28</v>
      </c>
      <c r="L495" t="s">
        <v>19</v>
      </c>
      <c r="M495">
        <v>52.2</v>
      </c>
      <c r="N495">
        <v>9</v>
      </c>
      <c r="O495">
        <v>0</v>
      </c>
      <c r="P495">
        <v>23.49</v>
      </c>
      <c r="Q495" s="1">
        <v>0.45</v>
      </c>
      <c r="R495" t="s">
        <v>4</v>
      </c>
      <c r="S495" t="s">
        <v>394</v>
      </c>
    </row>
    <row r="496" spans="1:19" x14ac:dyDescent="0.3">
      <c r="A496">
        <v>1461</v>
      </c>
      <c r="B496" t="s">
        <v>1336</v>
      </c>
      <c r="C496">
        <v>2015</v>
      </c>
      <c r="D496" t="s">
        <v>410</v>
      </c>
      <c r="E496" t="s">
        <v>6</v>
      </c>
      <c r="F496" t="s">
        <v>33</v>
      </c>
      <c r="G496" t="s">
        <v>34</v>
      </c>
      <c r="H496" t="s">
        <v>16</v>
      </c>
      <c r="I496" t="s">
        <v>1337</v>
      </c>
      <c r="J496" t="s">
        <v>17</v>
      </c>
      <c r="K496" t="s">
        <v>28</v>
      </c>
      <c r="L496" t="s">
        <v>19</v>
      </c>
      <c r="M496">
        <v>55.423999999999999</v>
      </c>
      <c r="N496">
        <v>2</v>
      </c>
      <c r="O496">
        <v>0.2</v>
      </c>
      <c r="P496">
        <v>19.398399999999999</v>
      </c>
      <c r="Q496" s="1">
        <v>0.35</v>
      </c>
      <c r="R496" t="s">
        <v>4</v>
      </c>
      <c r="S496" t="s">
        <v>408</v>
      </c>
    </row>
    <row r="497" spans="1:19" x14ac:dyDescent="0.3">
      <c r="A497">
        <v>1468</v>
      </c>
      <c r="B497" t="s">
        <v>1338</v>
      </c>
      <c r="C497">
        <v>2015</v>
      </c>
      <c r="D497" t="s">
        <v>417</v>
      </c>
      <c r="E497" t="s">
        <v>35</v>
      </c>
      <c r="F497" t="s">
        <v>179</v>
      </c>
      <c r="G497" t="s">
        <v>21</v>
      </c>
      <c r="H497" t="s">
        <v>9</v>
      </c>
      <c r="I497" t="s">
        <v>997</v>
      </c>
      <c r="J497" t="s">
        <v>26</v>
      </c>
      <c r="K497" t="s">
        <v>50</v>
      </c>
      <c r="L497" t="s">
        <v>158</v>
      </c>
      <c r="M497">
        <v>255.96799999999999</v>
      </c>
      <c r="N497">
        <v>4</v>
      </c>
      <c r="O497">
        <v>0.2</v>
      </c>
      <c r="P497">
        <v>31.995999999999999</v>
      </c>
      <c r="Q497" s="1">
        <v>0.125</v>
      </c>
      <c r="R497" t="s">
        <v>4</v>
      </c>
      <c r="S497" t="s">
        <v>408</v>
      </c>
    </row>
    <row r="498" spans="1:19" x14ac:dyDescent="0.3">
      <c r="A498">
        <v>1472</v>
      </c>
      <c r="B498" t="s">
        <v>1339</v>
      </c>
      <c r="C498">
        <v>2015</v>
      </c>
      <c r="D498" t="s">
        <v>428</v>
      </c>
      <c r="E498" t="s">
        <v>13</v>
      </c>
      <c r="F498" t="s">
        <v>46</v>
      </c>
      <c r="G498" t="s">
        <v>47</v>
      </c>
      <c r="H498" t="s">
        <v>48</v>
      </c>
      <c r="I498" t="s">
        <v>1340</v>
      </c>
      <c r="J498" t="s">
        <v>17</v>
      </c>
      <c r="K498" t="s">
        <v>25</v>
      </c>
      <c r="L498" t="s">
        <v>5</v>
      </c>
      <c r="M498">
        <v>6.8479999999999999</v>
      </c>
      <c r="N498">
        <v>2</v>
      </c>
      <c r="O498">
        <v>0.2</v>
      </c>
      <c r="P498">
        <v>0.59919999999999995</v>
      </c>
      <c r="Q498" s="1">
        <v>8.7499999999999994E-2</v>
      </c>
      <c r="R498" t="s">
        <v>4</v>
      </c>
      <c r="S498" t="s">
        <v>408</v>
      </c>
    </row>
    <row r="499" spans="1:19" x14ac:dyDescent="0.3">
      <c r="A499">
        <v>1473</v>
      </c>
      <c r="B499" t="s">
        <v>1341</v>
      </c>
      <c r="C499">
        <v>2017</v>
      </c>
      <c r="D499" t="s">
        <v>425</v>
      </c>
      <c r="E499" t="s">
        <v>13</v>
      </c>
      <c r="F499" t="s">
        <v>14</v>
      </c>
      <c r="G499" t="s">
        <v>15</v>
      </c>
      <c r="H499" t="s">
        <v>16</v>
      </c>
      <c r="I499" t="s">
        <v>1018</v>
      </c>
      <c r="J499" t="s">
        <v>17</v>
      </c>
      <c r="K499" t="s">
        <v>18</v>
      </c>
      <c r="L499" t="s">
        <v>19</v>
      </c>
      <c r="M499">
        <v>8.67</v>
      </c>
      <c r="N499">
        <v>3</v>
      </c>
      <c r="O499">
        <v>0</v>
      </c>
      <c r="P499">
        <v>4.0749000000000004</v>
      </c>
      <c r="Q499" s="1">
        <v>0.47</v>
      </c>
      <c r="R499" t="s">
        <v>4</v>
      </c>
      <c r="S499" t="s">
        <v>394</v>
      </c>
    </row>
    <row r="500" spans="1:19" x14ac:dyDescent="0.3">
      <c r="A500">
        <v>1477</v>
      </c>
      <c r="B500" t="s">
        <v>1342</v>
      </c>
      <c r="C500">
        <v>2017</v>
      </c>
      <c r="D500" t="s">
        <v>447</v>
      </c>
      <c r="E500" t="s">
        <v>35</v>
      </c>
      <c r="F500" t="s">
        <v>66</v>
      </c>
      <c r="G500" t="s">
        <v>67</v>
      </c>
      <c r="H500" t="s">
        <v>48</v>
      </c>
      <c r="I500" t="s">
        <v>1343</v>
      </c>
      <c r="J500" t="s">
        <v>17</v>
      </c>
      <c r="K500" t="s">
        <v>18</v>
      </c>
      <c r="L500" t="s">
        <v>19</v>
      </c>
      <c r="M500">
        <v>28.91</v>
      </c>
      <c r="N500">
        <v>7</v>
      </c>
      <c r="O500">
        <v>0</v>
      </c>
      <c r="P500">
        <v>13.2986</v>
      </c>
      <c r="Q500" s="1">
        <v>0.46</v>
      </c>
      <c r="R500" t="s">
        <v>4</v>
      </c>
      <c r="S500" t="s">
        <v>394</v>
      </c>
    </row>
    <row r="501" spans="1:19" x14ac:dyDescent="0.3">
      <c r="A501">
        <v>1480</v>
      </c>
      <c r="B501" t="s">
        <v>1344</v>
      </c>
      <c r="C501">
        <v>2016</v>
      </c>
      <c r="D501" t="s">
        <v>410</v>
      </c>
      <c r="E501" t="s">
        <v>6</v>
      </c>
      <c r="F501" t="s">
        <v>43</v>
      </c>
      <c r="G501" t="s">
        <v>15</v>
      </c>
      <c r="H501" t="s">
        <v>16</v>
      </c>
      <c r="I501" t="s">
        <v>1345</v>
      </c>
      <c r="J501" t="s">
        <v>17</v>
      </c>
      <c r="K501" t="s">
        <v>32</v>
      </c>
      <c r="L501" t="s">
        <v>19</v>
      </c>
      <c r="M501">
        <v>25.92</v>
      </c>
      <c r="N501">
        <v>4</v>
      </c>
      <c r="O501">
        <v>0</v>
      </c>
      <c r="P501">
        <v>12.441599999999999</v>
      </c>
      <c r="Q501" s="1">
        <v>0.48</v>
      </c>
      <c r="R501" t="s">
        <v>4</v>
      </c>
      <c r="S501" t="s">
        <v>394</v>
      </c>
    </row>
    <row r="502" spans="1:19" x14ac:dyDescent="0.3">
      <c r="A502">
        <v>1485</v>
      </c>
      <c r="B502" t="s">
        <v>1346</v>
      </c>
      <c r="C502">
        <v>2016</v>
      </c>
      <c r="D502" t="s">
        <v>399</v>
      </c>
      <c r="E502" t="s">
        <v>13</v>
      </c>
      <c r="F502" t="s">
        <v>33</v>
      </c>
      <c r="G502" t="s">
        <v>34</v>
      </c>
      <c r="H502" t="s">
        <v>16</v>
      </c>
      <c r="I502" t="s">
        <v>1347</v>
      </c>
      <c r="J502" t="s">
        <v>26</v>
      </c>
      <c r="K502" t="s">
        <v>50</v>
      </c>
      <c r="L502" t="s">
        <v>19</v>
      </c>
      <c r="M502">
        <v>177</v>
      </c>
      <c r="N502">
        <v>3</v>
      </c>
      <c r="O502">
        <v>0</v>
      </c>
      <c r="P502">
        <v>30.09</v>
      </c>
      <c r="Q502" s="1">
        <v>0.17</v>
      </c>
      <c r="R502" t="s">
        <v>4</v>
      </c>
      <c r="S502" t="s">
        <v>394</v>
      </c>
    </row>
    <row r="503" spans="1:19" x14ac:dyDescent="0.3">
      <c r="A503">
        <v>1486</v>
      </c>
      <c r="B503" t="s">
        <v>1348</v>
      </c>
      <c r="C503">
        <v>2014</v>
      </c>
      <c r="D503" t="s">
        <v>392</v>
      </c>
      <c r="E503" t="s">
        <v>6</v>
      </c>
      <c r="F503" t="s">
        <v>66</v>
      </c>
      <c r="G503" t="s">
        <v>67</v>
      </c>
      <c r="H503" t="s">
        <v>48</v>
      </c>
      <c r="I503" t="s">
        <v>1349</v>
      </c>
      <c r="J503" t="s">
        <v>17</v>
      </c>
      <c r="K503" t="s">
        <v>68</v>
      </c>
      <c r="L503" t="s">
        <v>19</v>
      </c>
      <c r="M503">
        <v>3.76</v>
      </c>
      <c r="N503">
        <v>2</v>
      </c>
      <c r="O503">
        <v>0</v>
      </c>
      <c r="P503">
        <v>1.3160000000000001</v>
      </c>
      <c r="Q503" s="1">
        <v>0.35</v>
      </c>
      <c r="R503" t="s">
        <v>4</v>
      </c>
      <c r="S503" t="s">
        <v>394</v>
      </c>
    </row>
    <row r="504" spans="1:19" x14ac:dyDescent="0.3">
      <c r="A504">
        <v>1487</v>
      </c>
      <c r="B504" t="s">
        <v>1350</v>
      </c>
      <c r="C504">
        <v>2015</v>
      </c>
      <c r="D504" t="s">
        <v>392</v>
      </c>
      <c r="E504" t="s">
        <v>35</v>
      </c>
      <c r="F504" t="s">
        <v>14</v>
      </c>
      <c r="G504" t="s">
        <v>15</v>
      </c>
      <c r="H504" t="s">
        <v>16</v>
      </c>
      <c r="I504" t="s">
        <v>1351</v>
      </c>
      <c r="J504" t="s">
        <v>26</v>
      </c>
      <c r="K504" t="s">
        <v>27</v>
      </c>
      <c r="L504" t="s">
        <v>19</v>
      </c>
      <c r="M504">
        <v>1212.848</v>
      </c>
      <c r="N504">
        <v>7</v>
      </c>
      <c r="O504">
        <v>0.2</v>
      </c>
      <c r="P504">
        <v>106.1242</v>
      </c>
      <c r="Q504" s="1">
        <v>8.7499999999999994E-2</v>
      </c>
      <c r="R504" t="s">
        <v>4</v>
      </c>
      <c r="S504" t="s">
        <v>408</v>
      </c>
    </row>
    <row r="505" spans="1:19" x14ac:dyDescent="0.3">
      <c r="A505">
        <v>1490</v>
      </c>
      <c r="B505" t="s">
        <v>1352</v>
      </c>
      <c r="C505">
        <v>2014</v>
      </c>
      <c r="D505" t="s">
        <v>392</v>
      </c>
      <c r="E505" t="s">
        <v>6</v>
      </c>
      <c r="F505" t="s">
        <v>46</v>
      </c>
      <c r="G505" t="s">
        <v>47</v>
      </c>
      <c r="H505" t="s">
        <v>48</v>
      </c>
      <c r="I505" t="s">
        <v>1353</v>
      </c>
      <c r="J505" t="s">
        <v>17</v>
      </c>
      <c r="K505" t="s">
        <v>18</v>
      </c>
      <c r="L505" t="s">
        <v>19</v>
      </c>
      <c r="M505">
        <v>5.04</v>
      </c>
      <c r="N505">
        <v>2</v>
      </c>
      <c r="O505">
        <v>0.2</v>
      </c>
      <c r="P505">
        <v>1.764</v>
      </c>
      <c r="Q505" s="1">
        <v>0.35</v>
      </c>
      <c r="R505" t="s">
        <v>4</v>
      </c>
      <c r="S505" t="s">
        <v>408</v>
      </c>
    </row>
    <row r="506" spans="1:19" x14ac:dyDescent="0.3">
      <c r="A506">
        <v>1491</v>
      </c>
      <c r="B506" t="s">
        <v>1354</v>
      </c>
      <c r="C506">
        <v>2017</v>
      </c>
      <c r="D506" t="s">
        <v>406</v>
      </c>
      <c r="E506" t="s">
        <v>13</v>
      </c>
      <c r="F506" t="s">
        <v>66</v>
      </c>
      <c r="G506" t="s">
        <v>67</v>
      </c>
      <c r="H506" t="s">
        <v>48</v>
      </c>
      <c r="I506" t="s">
        <v>439</v>
      </c>
      <c r="J506" t="s">
        <v>17</v>
      </c>
      <c r="K506" t="s">
        <v>51</v>
      </c>
      <c r="L506" t="s">
        <v>5</v>
      </c>
      <c r="M506">
        <v>62.96</v>
      </c>
      <c r="N506">
        <v>4</v>
      </c>
      <c r="O506">
        <v>0</v>
      </c>
      <c r="P506">
        <v>28.332000000000001</v>
      </c>
      <c r="Q506" s="1">
        <v>0.45</v>
      </c>
      <c r="R506" t="s">
        <v>4</v>
      </c>
      <c r="S506" t="s">
        <v>394</v>
      </c>
    </row>
    <row r="507" spans="1:19" x14ac:dyDescent="0.3">
      <c r="A507">
        <v>1494</v>
      </c>
      <c r="B507" t="s">
        <v>1355</v>
      </c>
      <c r="C507">
        <v>2017</v>
      </c>
      <c r="D507" t="s">
        <v>399</v>
      </c>
      <c r="E507" t="s">
        <v>13</v>
      </c>
      <c r="F507" t="s">
        <v>207</v>
      </c>
      <c r="G507" t="s">
        <v>34</v>
      </c>
      <c r="H507" t="s">
        <v>16</v>
      </c>
      <c r="I507" t="s">
        <v>1356</v>
      </c>
      <c r="J507" t="s">
        <v>10</v>
      </c>
      <c r="K507" t="s">
        <v>24</v>
      </c>
      <c r="L507" t="s">
        <v>19</v>
      </c>
      <c r="M507">
        <v>9.64</v>
      </c>
      <c r="N507">
        <v>2</v>
      </c>
      <c r="O507">
        <v>0</v>
      </c>
      <c r="P507">
        <v>3.6631999999999998</v>
      </c>
      <c r="Q507" s="1">
        <v>0.38</v>
      </c>
      <c r="R507" t="s">
        <v>4</v>
      </c>
      <c r="S507" t="s">
        <v>394</v>
      </c>
    </row>
    <row r="508" spans="1:19" x14ac:dyDescent="0.3">
      <c r="A508">
        <v>1495</v>
      </c>
      <c r="B508" t="s">
        <v>1357</v>
      </c>
      <c r="C508">
        <v>2014</v>
      </c>
      <c r="D508" t="s">
        <v>410</v>
      </c>
      <c r="E508" t="s">
        <v>6</v>
      </c>
      <c r="F508" t="s">
        <v>94</v>
      </c>
      <c r="G508" t="s">
        <v>157</v>
      </c>
      <c r="H508" t="s">
        <v>9</v>
      </c>
      <c r="I508" t="s">
        <v>1168</v>
      </c>
      <c r="J508" t="s">
        <v>17</v>
      </c>
      <c r="K508" t="s">
        <v>25</v>
      </c>
      <c r="L508" t="s">
        <v>5</v>
      </c>
      <c r="M508">
        <v>40.049999999999997</v>
      </c>
      <c r="N508">
        <v>3</v>
      </c>
      <c r="O508">
        <v>0</v>
      </c>
      <c r="P508">
        <v>11.214</v>
      </c>
      <c r="Q508" s="1">
        <v>0.28000000000000003</v>
      </c>
      <c r="R508" t="s">
        <v>4</v>
      </c>
      <c r="S508" t="s">
        <v>394</v>
      </c>
    </row>
    <row r="509" spans="1:19" x14ac:dyDescent="0.3">
      <c r="A509">
        <v>1496</v>
      </c>
      <c r="B509" t="s">
        <v>1358</v>
      </c>
      <c r="C509">
        <v>2017</v>
      </c>
      <c r="D509" t="s">
        <v>428</v>
      </c>
      <c r="E509" t="s">
        <v>6</v>
      </c>
      <c r="F509" t="s">
        <v>274</v>
      </c>
      <c r="G509" t="s">
        <v>37</v>
      </c>
      <c r="H509" t="s">
        <v>38</v>
      </c>
      <c r="I509" t="s">
        <v>1190</v>
      </c>
      <c r="J509" t="s">
        <v>17</v>
      </c>
      <c r="K509" t="s">
        <v>25</v>
      </c>
      <c r="L509" t="s">
        <v>19</v>
      </c>
      <c r="M509">
        <v>10.192</v>
      </c>
      <c r="N509">
        <v>7</v>
      </c>
      <c r="O509">
        <v>0.2</v>
      </c>
      <c r="P509">
        <v>3.1850000000000001</v>
      </c>
      <c r="Q509" s="1">
        <v>0.3125</v>
      </c>
      <c r="R509" t="s">
        <v>4</v>
      </c>
      <c r="S509" t="s">
        <v>408</v>
      </c>
    </row>
    <row r="510" spans="1:19" x14ac:dyDescent="0.3">
      <c r="A510">
        <v>1499</v>
      </c>
      <c r="B510" t="s">
        <v>1359</v>
      </c>
      <c r="C510">
        <v>2016</v>
      </c>
      <c r="D510" t="s">
        <v>399</v>
      </c>
      <c r="E510" t="s">
        <v>35</v>
      </c>
      <c r="F510" t="s">
        <v>43</v>
      </c>
      <c r="G510" t="s">
        <v>15</v>
      </c>
      <c r="H510" t="s">
        <v>16</v>
      </c>
      <c r="I510" t="s">
        <v>1360</v>
      </c>
      <c r="J510" t="s">
        <v>17</v>
      </c>
      <c r="K510" t="s">
        <v>28</v>
      </c>
      <c r="L510" t="s">
        <v>53</v>
      </c>
      <c r="M510">
        <v>18.16</v>
      </c>
      <c r="N510">
        <v>5</v>
      </c>
      <c r="O510">
        <v>0.2</v>
      </c>
      <c r="P510">
        <v>6.5830000000000002</v>
      </c>
      <c r="Q510" s="1">
        <v>0.36249999999999999</v>
      </c>
      <c r="R510" t="s">
        <v>4</v>
      </c>
      <c r="S510" t="s">
        <v>408</v>
      </c>
    </row>
    <row r="511" spans="1:19" x14ac:dyDescent="0.3">
      <c r="A511">
        <v>1505</v>
      </c>
      <c r="B511" t="s">
        <v>1361</v>
      </c>
      <c r="C511">
        <v>2015</v>
      </c>
      <c r="D511" t="s">
        <v>420</v>
      </c>
      <c r="E511" t="s">
        <v>35</v>
      </c>
      <c r="F511" t="s">
        <v>14</v>
      </c>
      <c r="G511" t="s">
        <v>15</v>
      </c>
      <c r="H511" t="s">
        <v>16</v>
      </c>
      <c r="I511" t="s">
        <v>1362</v>
      </c>
      <c r="J511" t="s">
        <v>17</v>
      </c>
      <c r="K511" t="s">
        <v>25</v>
      </c>
      <c r="L511" t="s">
        <v>19</v>
      </c>
      <c r="M511">
        <v>6.72</v>
      </c>
      <c r="N511">
        <v>4</v>
      </c>
      <c r="O511">
        <v>0</v>
      </c>
      <c r="P511">
        <v>3.36</v>
      </c>
      <c r="Q511" s="1">
        <v>0.5</v>
      </c>
      <c r="R511" t="s">
        <v>4</v>
      </c>
      <c r="S511" t="s">
        <v>394</v>
      </c>
    </row>
    <row r="512" spans="1:19" x14ac:dyDescent="0.3">
      <c r="A512">
        <v>1510</v>
      </c>
      <c r="B512" t="s">
        <v>1363</v>
      </c>
      <c r="C512">
        <v>2017</v>
      </c>
      <c r="D512" t="s">
        <v>428</v>
      </c>
      <c r="E512" t="s">
        <v>6</v>
      </c>
      <c r="F512" t="s">
        <v>14</v>
      </c>
      <c r="G512" t="s">
        <v>15</v>
      </c>
      <c r="H512" t="s">
        <v>16</v>
      </c>
      <c r="I512" t="s">
        <v>1364</v>
      </c>
      <c r="J512" t="s">
        <v>10</v>
      </c>
      <c r="K512" t="s">
        <v>24</v>
      </c>
      <c r="L512" t="s">
        <v>53</v>
      </c>
      <c r="M512">
        <v>8.36</v>
      </c>
      <c r="N512">
        <v>2</v>
      </c>
      <c r="O512">
        <v>0</v>
      </c>
      <c r="P512">
        <v>3.0095999999999998</v>
      </c>
      <c r="Q512" s="1">
        <v>0.36</v>
      </c>
      <c r="R512" t="s">
        <v>4</v>
      </c>
      <c r="S512" t="s">
        <v>394</v>
      </c>
    </row>
    <row r="513" spans="1:19" x14ac:dyDescent="0.3">
      <c r="A513">
        <v>1518</v>
      </c>
      <c r="B513" t="s">
        <v>1365</v>
      </c>
      <c r="C513">
        <v>2014</v>
      </c>
      <c r="D513" t="s">
        <v>529</v>
      </c>
      <c r="E513" t="s">
        <v>6</v>
      </c>
      <c r="F513" t="s">
        <v>33</v>
      </c>
      <c r="G513" t="s">
        <v>34</v>
      </c>
      <c r="H513" t="s">
        <v>16</v>
      </c>
      <c r="I513" t="s">
        <v>664</v>
      </c>
      <c r="J513" t="s">
        <v>17</v>
      </c>
      <c r="K513" t="s">
        <v>28</v>
      </c>
      <c r="L513" t="s">
        <v>5</v>
      </c>
      <c r="M513">
        <v>83.84</v>
      </c>
      <c r="N513">
        <v>2</v>
      </c>
      <c r="O513">
        <v>0.2</v>
      </c>
      <c r="P513">
        <v>27.248000000000001</v>
      </c>
      <c r="Q513" s="1">
        <v>0.32500000000000001</v>
      </c>
      <c r="R513" t="s">
        <v>4</v>
      </c>
      <c r="S513" t="s">
        <v>408</v>
      </c>
    </row>
    <row r="514" spans="1:19" x14ac:dyDescent="0.3">
      <c r="A514">
        <v>1520</v>
      </c>
      <c r="B514" t="s">
        <v>1366</v>
      </c>
      <c r="C514">
        <v>2017</v>
      </c>
      <c r="D514" t="s">
        <v>529</v>
      </c>
      <c r="E514" t="s">
        <v>13</v>
      </c>
      <c r="F514" t="s">
        <v>43</v>
      </c>
      <c r="G514" t="s">
        <v>15</v>
      </c>
      <c r="H514" t="s">
        <v>16</v>
      </c>
      <c r="I514" t="s">
        <v>1367</v>
      </c>
      <c r="J514" t="s">
        <v>17</v>
      </c>
      <c r="K514" t="s">
        <v>28</v>
      </c>
      <c r="L514" t="s">
        <v>5</v>
      </c>
      <c r="M514">
        <v>21.335999999999999</v>
      </c>
      <c r="N514">
        <v>7</v>
      </c>
      <c r="O514">
        <v>0.2</v>
      </c>
      <c r="P514">
        <v>7.7343000000000002</v>
      </c>
      <c r="Q514" s="1">
        <v>0.36249999999999999</v>
      </c>
      <c r="R514" t="s">
        <v>4</v>
      </c>
      <c r="S514" t="s">
        <v>408</v>
      </c>
    </row>
    <row r="515" spans="1:19" x14ac:dyDescent="0.3">
      <c r="A515">
        <v>1521</v>
      </c>
      <c r="B515" t="s">
        <v>1368</v>
      </c>
      <c r="C515">
        <v>2017</v>
      </c>
      <c r="D515" t="s">
        <v>406</v>
      </c>
      <c r="E515" t="s">
        <v>35</v>
      </c>
      <c r="F515" t="s">
        <v>70</v>
      </c>
      <c r="G515" t="s">
        <v>56</v>
      </c>
      <c r="H515" t="s">
        <v>38</v>
      </c>
      <c r="I515" t="s">
        <v>1369</v>
      </c>
      <c r="J515" t="s">
        <v>17</v>
      </c>
      <c r="K515" t="s">
        <v>25</v>
      </c>
      <c r="L515" t="s">
        <v>19</v>
      </c>
      <c r="M515">
        <v>16.52</v>
      </c>
      <c r="N515">
        <v>5</v>
      </c>
      <c r="O515">
        <v>0.2</v>
      </c>
      <c r="P515">
        <v>2.0649999999999999</v>
      </c>
      <c r="Q515" s="1">
        <v>0.125</v>
      </c>
      <c r="R515" t="s">
        <v>4</v>
      </c>
      <c r="S515" t="s">
        <v>408</v>
      </c>
    </row>
    <row r="516" spans="1:19" x14ac:dyDescent="0.3">
      <c r="A516">
        <v>1531</v>
      </c>
      <c r="B516" t="s">
        <v>1370</v>
      </c>
      <c r="C516">
        <v>2015</v>
      </c>
      <c r="D516" t="s">
        <v>447</v>
      </c>
      <c r="E516" t="s">
        <v>13</v>
      </c>
      <c r="F516" t="s">
        <v>170</v>
      </c>
      <c r="G516" t="s">
        <v>21</v>
      </c>
      <c r="H516" t="s">
        <v>9</v>
      </c>
      <c r="I516" t="s">
        <v>1371</v>
      </c>
      <c r="J516" t="s">
        <v>17</v>
      </c>
      <c r="K516" t="s">
        <v>32</v>
      </c>
      <c r="L516" t="s">
        <v>19</v>
      </c>
      <c r="M516">
        <v>74.352000000000004</v>
      </c>
      <c r="N516">
        <v>3</v>
      </c>
      <c r="O516">
        <v>0.2</v>
      </c>
      <c r="P516">
        <v>23.234999999999999</v>
      </c>
      <c r="Q516" s="1">
        <v>0.3125</v>
      </c>
      <c r="R516" t="s">
        <v>4</v>
      </c>
      <c r="S516" t="s">
        <v>408</v>
      </c>
    </row>
    <row r="517" spans="1:19" x14ac:dyDescent="0.3">
      <c r="A517">
        <v>1532</v>
      </c>
      <c r="B517" t="s">
        <v>1372</v>
      </c>
      <c r="C517">
        <v>2017</v>
      </c>
      <c r="D517" t="s">
        <v>420</v>
      </c>
      <c r="E517" t="s">
        <v>6</v>
      </c>
      <c r="F517" t="s">
        <v>277</v>
      </c>
      <c r="G517" t="s">
        <v>72</v>
      </c>
      <c r="H517" t="s">
        <v>16</v>
      </c>
      <c r="I517" t="s">
        <v>1373</v>
      </c>
      <c r="J517" t="s">
        <v>17</v>
      </c>
      <c r="K517" t="s">
        <v>23</v>
      </c>
      <c r="L517" t="s">
        <v>19</v>
      </c>
      <c r="M517">
        <v>10.744</v>
      </c>
      <c r="N517">
        <v>1</v>
      </c>
      <c r="O517">
        <v>0.2</v>
      </c>
      <c r="P517">
        <v>0.80579999999999996</v>
      </c>
      <c r="Q517" s="1">
        <v>7.4999999999999997E-2</v>
      </c>
      <c r="R517" t="s">
        <v>4</v>
      </c>
      <c r="S517" t="s">
        <v>408</v>
      </c>
    </row>
    <row r="518" spans="1:19" x14ac:dyDescent="0.3">
      <c r="A518">
        <v>1535</v>
      </c>
      <c r="B518" t="s">
        <v>1374</v>
      </c>
      <c r="C518">
        <v>2017</v>
      </c>
      <c r="D518" t="s">
        <v>529</v>
      </c>
      <c r="E518" t="s">
        <v>35</v>
      </c>
      <c r="F518" t="s">
        <v>278</v>
      </c>
      <c r="G518" t="s">
        <v>15</v>
      </c>
      <c r="H518" t="s">
        <v>16</v>
      </c>
      <c r="I518" t="s">
        <v>1375</v>
      </c>
      <c r="J518" t="s">
        <v>10</v>
      </c>
      <c r="K518" t="s">
        <v>11</v>
      </c>
      <c r="L518" t="s">
        <v>19</v>
      </c>
      <c r="M518">
        <v>203.983</v>
      </c>
      <c r="N518">
        <v>2</v>
      </c>
      <c r="O518">
        <v>0.15</v>
      </c>
      <c r="P518">
        <v>16.7986</v>
      </c>
      <c r="Q518" s="1">
        <v>8.2352941176470601E-2</v>
      </c>
      <c r="R518" t="s">
        <v>4</v>
      </c>
      <c r="S518" t="s">
        <v>408</v>
      </c>
    </row>
    <row r="519" spans="1:19" x14ac:dyDescent="0.3">
      <c r="A519">
        <v>1536</v>
      </c>
      <c r="B519" t="s">
        <v>1376</v>
      </c>
      <c r="C519">
        <v>2016</v>
      </c>
      <c r="D519" t="s">
        <v>399</v>
      </c>
      <c r="E519" t="s">
        <v>13</v>
      </c>
      <c r="F519" t="s">
        <v>279</v>
      </c>
      <c r="G519" t="s">
        <v>123</v>
      </c>
      <c r="H519" t="s">
        <v>48</v>
      </c>
      <c r="I519" t="s">
        <v>1377</v>
      </c>
      <c r="J519" t="s">
        <v>17</v>
      </c>
      <c r="K519" t="s">
        <v>23</v>
      </c>
      <c r="L519" t="s">
        <v>19</v>
      </c>
      <c r="M519">
        <v>40.74</v>
      </c>
      <c r="N519">
        <v>3</v>
      </c>
      <c r="O519">
        <v>0</v>
      </c>
      <c r="P519">
        <v>0.40739999999999998</v>
      </c>
      <c r="Q519" s="1">
        <v>0.01</v>
      </c>
      <c r="R519" t="s">
        <v>4</v>
      </c>
      <c r="S519" t="s">
        <v>394</v>
      </c>
    </row>
    <row r="520" spans="1:19" x14ac:dyDescent="0.3">
      <c r="A520">
        <v>1542</v>
      </c>
      <c r="B520" t="s">
        <v>1378</v>
      </c>
      <c r="C520">
        <v>2014</v>
      </c>
      <c r="D520" t="s">
        <v>447</v>
      </c>
      <c r="E520" t="s">
        <v>6</v>
      </c>
      <c r="F520" t="s">
        <v>94</v>
      </c>
      <c r="G520" t="s">
        <v>95</v>
      </c>
      <c r="H520" t="s">
        <v>48</v>
      </c>
      <c r="I520" t="s">
        <v>1379</v>
      </c>
      <c r="J520" t="s">
        <v>10</v>
      </c>
      <c r="K520" t="s">
        <v>24</v>
      </c>
      <c r="L520" t="s">
        <v>5</v>
      </c>
      <c r="M520">
        <v>8.32</v>
      </c>
      <c r="N520">
        <v>5</v>
      </c>
      <c r="O520">
        <v>0.2</v>
      </c>
      <c r="P520">
        <v>2.2879999999999998</v>
      </c>
      <c r="Q520" s="1">
        <v>0.27500000000000002</v>
      </c>
      <c r="R520" t="s">
        <v>4</v>
      </c>
      <c r="S520" t="s">
        <v>408</v>
      </c>
    </row>
    <row r="521" spans="1:19" x14ac:dyDescent="0.3">
      <c r="A521">
        <v>1544</v>
      </c>
      <c r="B521" t="s">
        <v>1380</v>
      </c>
      <c r="C521">
        <v>2014</v>
      </c>
      <c r="D521" t="s">
        <v>529</v>
      </c>
      <c r="E521" t="s">
        <v>35</v>
      </c>
      <c r="F521" t="s">
        <v>134</v>
      </c>
      <c r="G521" t="s">
        <v>15</v>
      </c>
      <c r="H521" t="s">
        <v>16</v>
      </c>
      <c r="I521" t="s">
        <v>1381</v>
      </c>
      <c r="J521" t="s">
        <v>17</v>
      </c>
      <c r="K521" t="s">
        <v>28</v>
      </c>
      <c r="L521" t="s">
        <v>19</v>
      </c>
      <c r="M521">
        <v>82.896000000000001</v>
      </c>
      <c r="N521">
        <v>3</v>
      </c>
      <c r="O521">
        <v>0.2</v>
      </c>
      <c r="P521">
        <v>29.0136</v>
      </c>
      <c r="Q521" s="1">
        <v>0.35</v>
      </c>
      <c r="R521" t="s">
        <v>4</v>
      </c>
      <c r="S521" t="s">
        <v>408</v>
      </c>
    </row>
    <row r="522" spans="1:19" x14ac:dyDescent="0.3">
      <c r="A522">
        <v>1546</v>
      </c>
      <c r="B522" t="s">
        <v>1382</v>
      </c>
      <c r="C522">
        <v>2014</v>
      </c>
      <c r="D522" t="s">
        <v>410</v>
      </c>
      <c r="E522" t="s">
        <v>13</v>
      </c>
      <c r="F522" t="s">
        <v>280</v>
      </c>
      <c r="G522" t="s">
        <v>67</v>
      </c>
      <c r="H522" t="s">
        <v>48</v>
      </c>
      <c r="I522" t="s">
        <v>580</v>
      </c>
      <c r="J522" t="s">
        <v>10</v>
      </c>
      <c r="K522" t="s">
        <v>11</v>
      </c>
      <c r="L522" t="s">
        <v>5</v>
      </c>
      <c r="M522">
        <v>1573.4880000000001</v>
      </c>
      <c r="N522">
        <v>7</v>
      </c>
      <c r="O522">
        <v>0.2</v>
      </c>
      <c r="P522">
        <v>196.68600000000001</v>
      </c>
      <c r="Q522" s="1">
        <v>0.125</v>
      </c>
      <c r="R522" t="s">
        <v>4</v>
      </c>
      <c r="S522" t="s">
        <v>408</v>
      </c>
    </row>
    <row r="523" spans="1:19" x14ac:dyDescent="0.3">
      <c r="A523">
        <v>1547</v>
      </c>
      <c r="B523" t="s">
        <v>1383</v>
      </c>
      <c r="C523">
        <v>2015</v>
      </c>
      <c r="D523" t="s">
        <v>392</v>
      </c>
      <c r="E523" t="s">
        <v>13</v>
      </c>
      <c r="F523" t="s">
        <v>113</v>
      </c>
      <c r="G523" t="s">
        <v>37</v>
      </c>
      <c r="H523" t="s">
        <v>38</v>
      </c>
      <c r="I523" t="s">
        <v>1384</v>
      </c>
      <c r="J523" t="s">
        <v>17</v>
      </c>
      <c r="K523" t="s">
        <v>32</v>
      </c>
      <c r="L523" t="s">
        <v>19</v>
      </c>
      <c r="M523">
        <v>335.52</v>
      </c>
      <c r="N523">
        <v>4</v>
      </c>
      <c r="O523">
        <v>0.2</v>
      </c>
      <c r="P523">
        <v>117.432</v>
      </c>
      <c r="Q523" s="1">
        <v>0.35</v>
      </c>
      <c r="R523" t="s">
        <v>4</v>
      </c>
      <c r="S523" t="s">
        <v>408</v>
      </c>
    </row>
    <row r="524" spans="1:19" x14ac:dyDescent="0.3">
      <c r="A524">
        <v>1550</v>
      </c>
      <c r="B524" t="s">
        <v>1385</v>
      </c>
      <c r="C524">
        <v>2014</v>
      </c>
      <c r="D524" t="s">
        <v>425</v>
      </c>
      <c r="E524" t="s">
        <v>6</v>
      </c>
      <c r="F524" t="s">
        <v>66</v>
      </c>
      <c r="G524" t="s">
        <v>67</v>
      </c>
      <c r="H524" t="s">
        <v>48</v>
      </c>
      <c r="I524" t="s">
        <v>1386</v>
      </c>
      <c r="J524" t="s">
        <v>26</v>
      </c>
      <c r="K524" t="s">
        <v>152</v>
      </c>
      <c r="L524" t="s">
        <v>53</v>
      </c>
      <c r="M524">
        <v>559.99199999999996</v>
      </c>
      <c r="N524">
        <v>1</v>
      </c>
      <c r="O524">
        <v>0.2</v>
      </c>
      <c r="P524">
        <v>174.9975</v>
      </c>
      <c r="Q524" s="1">
        <v>0.3125</v>
      </c>
      <c r="R524" t="s">
        <v>4</v>
      </c>
      <c r="S524" t="s">
        <v>408</v>
      </c>
    </row>
    <row r="525" spans="1:19" x14ac:dyDescent="0.3">
      <c r="A525">
        <v>1553</v>
      </c>
      <c r="B525" t="s">
        <v>1387</v>
      </c>
      <c r="C525">
        <v>2014</v>
      </c>
      <c r="D525" t="s">
        <v>417</v>
      </c>
      <c r="E525" t="s">
        <v>35</v>
      </c>
      <c r="F525" t="s">
        <v>281</v>
      </c>
      <c r="G525" t="s">
        <v>40</v>
      </c>
      <c r="H525" t="s">
        <v>38</v>
      </c>
      <c r="I525" t="s">
        <v>1388</v>
      </c>
      <c r="J525" t="s">
        <v>17</v>
      </c>
      <c r="K525" t="s">
        <v>18</v>
      </c>
      <c r="L525" t="s">
        <v>53</v>
      </c>
      <c r="M525">
        <v>21.56</v>
      </c>
      <c r="N525">
        <v>7</v>
      </c>
      <c r="O525">
        <v>0</v>
      </c>
      <c r="P525">
        <v>10.348800000000001</v>
      </c>
      <c r="Q525" s="1">
        <v>0.48</v>
      </c>
      <c r="R525" t="s">
        <v>4</v>
      </c>
      <c r="S525" t="s">
        <v>394</v>
      </c>
    </row>
    <row r="526" spans="1:19" x14ac:dyDescent="0.3">
      <c r="A526">
        <v>1554</v>
      </c>
      <c r="B526" t="s">
        <v>1389</v>
      </c>
      <c r="C526">
        <v>2017</v>
      </c>
      <c r="D526" t="s">
        <v>399</v>
      </c>
      <c r="E526" t="s">
        <v>6</v>
      </c>
      <c r="F526" t="s">
        <v>172</v>
      </c>
      <c r="G526" t="s">
        <v>8</v>
      </c>
      <c r="H526" t="s">
        <v>9</v>
      </c>
      <c r="I526" t="s">
        <v>1022</v>
      </c>
      <c r="J526" t="s">
        <v>17</v>
      </c>
      <c r="K526" t="s">
        <v>28</v>
      </c>
      <c r="L526" t="s">
        <v>19</v>
      </c>
      <c r="M526">
        <v>124.75</v>
      </c>
      <c r="N526">
        <v>5</v>
      </c>
      <c r="O526">
        <v>0</v>
      </c>
      <c r="P526">
        <v>57.384999999999998</v>
      </c>
      <c r="Q526" s="1">
        <v>0.46</v>
      </c>
      <c r="R526" t="s">
        <v>4</v>
      </c>
      <c r="S526" t="s">
        <v>394</v>
      </c>
    </row>
    <row r="527" spans="1:19" x14ac:dyDescent="0.3">
      <c r="A527">
        <v>1555</v>
      </c>
      <c r="B527" t="s">
        <v>1390</v>
      </c>
      <c r="C527">
        <v>2015</v>
      </c>
      <c r="D527" t="s">
        <v>529</v>
      </c>
      <c r="E527" t="s">
        <v>13</v>
      </c>
      <c r="F527" t="s">
        <v>282</v>
      </c>
      <c r="G527" t="s">
        <v>34</v>
      </c>
      <c r="H527" t="s">
        <v>16</v>
      </c>
      <c r="I527" t="s">
        <v>1391</v>
      </c>
      <c r="J527" t="s">
        <v>17</v>
      </c>
      <c r="K527" t="s">
        <v>25</v>
      </c>
      <c r="L527" t="s">
        <v>19</v>
      </c>
      <c r="M527">
        <v>5.28</v>
      </c>
      <c r="N527">
        <v>3</v>
      </c>
      <c r="O527">
        <v>0</v>
      </c>
      <c r="P527">
        <v>1.5311999999999999</v>
      </c>
      <c r="Q527" s="1">
        <v>0.28999999999999998</v>
      </c>
      <c r="R527" t="s">
        <v>4</v>
      </c>
      <c r="S527" t="s">
        <v>394</v>
      </c>
    </row>
    <row r="528" spans="1:19" x14ac:dyDescent="0.3">
      <c r="A528">
        <v>1560</v>
      </c>
      <c r="B528" t="s">
        <v>1392</v>
      </c>
      <c r="C528">
        <v>2016</v>
      </c>
      <c r="D528" t="s">
        <v>406</v>
      </c>
      <c r="E528" t="s">
        <v>13</v>
      </c>
      <c r="F528" t="s">
        <v>33</v>
      </c>
      <c r="G528" t="s">
        <v>34</v>
      </c>
      <c r="H528" t="s">
        <v>16</v>
      </c>
      <c r="I528" t="s">
        <v>1034</v>
      </c>
      <c r="J528" t="s">
        <v>17</v>
      </c>
      <c r="K528" t="s">
        <v>28</v>
      </c>
      <c r="L528" t="s">
        <v>19</v>
      </c>
      <c r="M528">
        <v>35.351999999999997</v>
      </c>
      <c r="N528">
        <v>9</v>
      </c>
      <c r="O528">
        <v>0.2</v>
      </c>
      <c r="P528">
        <v>12.815099999999999</v>
      </c>
      <c r="Q528" s="1">
        <v>0.36249999999999999</v>
      </c>
      <c r="R528" t="s">
        <v>4</v>
      </c>
      <c r="S528" t="s">
        <v>408</v>
      </c>
    </row>
    <row r="529" spans="1:19" x14ac:dyDescent="0.3">
      <c r="A529">
        <v>1561</v>
      </c>
      <c r="B529" t="s">
        <v>1393</v>
      </c>
      <c r="C529">
        <v>2014</v>
      </c>
      <c r="D529" t="s">
        <v>406</v>
      </c>
      <c r="E529" t="s">
        <v>35</v>
      </c>
      <c r="F529" t="s">
        <v>43</v>
      </c>
      <c r="G529" t="s">
        <v>15</v>
      </c>
      <c r="H529" t="s">
        <v>16</v>
      </c>
      <c r="I529" t="s">
        <v>1394</v>
      </c>
      <c r="J529" t="s">
        <v>17</v>
      </c>
      <c r="K529" t="s">
        <v>18</v>
      </c>
      <c r="L529" t="s">
        <v>19</v>
      </c>
      <c r="M529">
        <v>18.899999999999999</v>
      </c>
      <c r="N529">
        <v>6</v>
      </c>
      <c r="O529">
        <v>0</v>
      </c>
      <c r="P529">
        <v>9.0719999999999992</v>
      </c>
      <c r="Q529" s="1">
        <v>0.48</v>
      </c>
      <c r="R529" t="s">
        <v>4</v>
      </c>
      <c r="S529" t="s">
        <v>394</v>
      </c>
    </row>
    <row r="530" spans="1:19" x14ac:dyDescent="0.3">
      <c r="A530">
        <v>1562</v>
      </c>
      <c r="B530" t="s">
        <v>1395</v>
      </c>
      <c r="C530">
        <v>2017</v>
      </c>
      <c r="D530" t="s">
        <v>428</v>
      </c>
      <c r="E530" t="s">
        <v>35</v>
      </c>
      <c r="F530" t="s">
        <v>33</v>
      </c>
      <c r="G530" t="s">
        <v>34</v>
      </c>
      <c r="H530" t="s">
        <v>16</v>
      </c>
      <c r="I530" t="s">
        <v>1396</v>
      </c>
      <c r="J530" t="s">
        <v>17</v>
      </c>
      <c r="K530" t="s">
        <v>25</v>
      </c>
      <c r="L530" t="s">
        <v>53</v>
      </c>
      <c r="M530">
        <v>2.78</v>
      </c>
      <c r="N530">
        <v>1</v>
      </c>
      <c r="O530">
        <v>0</v>
      </c>
      <c r="P530">
        <v>0.7228</v>
      </c>
      <c r="Q530" s="1">
        <v>0.26</v>
      </c>
      <c r="R530" t="s">
        <v>4</v>
      </c>
      <c r="S530" t="s">
        <v>394</v>
      </c>
    </row>
    <row r="531" spans="1:19" x14ac:dyDescent="0.3">
      <c r="A531">
        <v>1564</v>
      </c>
      <c r="B531" t="s">
        <v>1397</v>
      </c>
      <c r="C531">
        <v>2015</v>
      </c>
      <c r="D531" t="s">
        <v>392</v>
      </c>
      <c r="E531" t="s">
        <v>6</v>
      </c>
      <c r="F531" t="s">
        <v>46</v>
      </c>
      <c r="G531" t="s">
        <v>47</v>
      </c>
      <c r="H531" t="s">
        <v>48</v>
      </c>
      <c r="I531" t="s">
        <v>1398</v>
      </c>
      <c r="J531" t="s">
        <v>17</v>
      </c>
      <c r="K531" t="s">
        <v>32</v>
      </c>
      <c r="L531" t="s">
        <v>158</v>
      </c>
      <c r="M531">
        <v>11.352</v>
      </c>
      <c r="N531">
        <v>3</v>
      </c>
      <c r="O531">
        <v>0.2</v>
      </c>
      <c r="P531">
        <v>4.1151</v>
      </c>
      <c r="Q531" s="1">
        <v>0.36249999999999999</v>
      </c>
      <c r="R531" t="s">
        <v>4</v>
      </c>
      <c r="S531" t="s">
        <v>408</v>
      </c>
    </row>
    <row r="532" spans="1:19" x14ac:dyDescent="0.3">
      <c r="A532">
        <v>1565</v>
      </c>
      <c r="B532" t="s">
        <v>1399</v>
      </c>
      <c r="C532">
        <v>2014</v>
      </c>
      <c r="D532" t="s">
        <v>447</v>
      </c>
      <c r="E532" t="s">
        <v>6</v>
      </c>
      <c r="F532" t="s">
        <v>81</v>
      </c>
      <c r="G532" t="s">
        <v>82</v>
      </c>
      <c r="H532" t="s">
        <v>9</v>
      </c>
      <c r="I532" t="s">
        <v>1400</v>
      </c>
      <c r="J532" t="s">
        <v>17</v>
      </c>
      <c r="K532" t="s">
        <v>23</v>
      </c>
      <c r="L532" t="s">
        <v>158</v>
      </c>
      <c r="M532">
        <v>354.9</v>
      </c>
      <c r="N532">
        <v>5</v>
      </c>
      <c r="O532">
        <v>0</v>
      </c>
      <c r="P532">
        <v>17.745000000000001</v>
      </c>
      <c r="Q532" s="1">
        <v>0.05</v>
      </c>
      <c r="R532" t="s">
        <v>4</v>
      </c>
      <c r="S532" t="s">
        <v>394</v>
      </c>
    </row>
    <row r="533" spans="1:19" x14ac:dyDescent="0.3">
      <c r="A533">
        <v>1566</v>
      </c>
      <c r="B533" t="s">
        <v>1401</v>
      </c>
      <c r="C533">
        <v>2015</v>
      </c>
      <c r="D533" t="s">
        <v>447</v>
      </c>
      <c r="E533" t="s">
        <v>35</v>
      </c>
      <c r="F533" t="s">
        <v>33</v>
      </c>
      <c r="G533" t="s">
        <v>34</v>
      </c>
      <c r="H533" t="s">
        <v>16</v>
      </c>
      <c r="I533" t="s">
        <v>1402</v>
      </c>
      <c r="J533" t="s">
        <v>26</v>
      </c>
      <c r="K533" t="s">
        <v>27</v>
      </c>
      <c r="L533" t="s">
        <v>19</v>
      </c>
      <c r="M533">
        <v>453.57600000000002</v>
      </c>
      <c r="N533">
        <v>3</v>
      </c>
      <c r="O533">
        <v>0.2</v>
      </c>
      <c r="P533">
        <v>39.687899999999999</v>
      </c>
      <c r="Q533" s="1">
        <v>8.7499999999999994E-2</v>
      </c>
      <c r="R533" t="s">
        <v>4</v>
      </c>
      <c r="S533" t="s">
        <v>408</v>
      </c>
    </row>
    <row r="534" spans="1:19" x14ac:dyDescent="0.3">
      <c r="A534">
        <v>1569</v>
      </c>
      <c r="B534" t="s">
        <v>1403</v>
      </c>
      <c r="C534">
        <v>2017</v>
      </c>
      <c r="D534" t="s">
        <v>396</v>
      </c>
      <c r="E534" t="s">
        <v>6</v>
      </c>
      <c r="F534" t="s">
        <v>14</v>
      </c>
      <c r="G534" t="s">
        <v>15</v>
      </c>
      <c r="H534" t="s">
        <v>16</v>
      </c>
      <c r="I534" t="s">
        <v>1404</v>
      </c>
      <c r="J534" t="s">
        <v>17</v>
      </c>
      <c r="K534" t="s">
        <v>32</v>
      </c>
      <c r="L534" t="s">
        <v>158</v>
      </c>
      <c r="M534">
        <v>122.97</v>
      </c>
      <c r="N534">
        <v>3</v>
      </c>
      <c r="O534">
        <v>0</v>
      </c>
      <c r="P534">
        <v>60.255299999999998</v>
      </c>
      <c r="Q534" s="1">
        <v>0.49</v>
      </c>
      <c r="R534" t="s">
        <v>4</v>
      </c>
      <c r="S534" t="s">
        <v>394</v>
      </c>
    </row>
    <row r="535" spans="1:19" x14ac:dyDescent="0.3">
      <c r="A535">
        <v>1571</v>
      </c>
      <c r="B535" t="s">
        <v>1405</v>
      </c>
      <c r="C535">
        <v>2014</v>
      </c>
      <c r="D535" t="s">
        <v>392</v>
      </c>
      <c r="E535" t="s">
        <v>6</v>
      </c>
      <c r="F535" t="s">
        <v>14</v>
      </c>
      <c r="G535" t="s">
        <v>15</v>
      </c>
      <c r="H535" t="s">
        <v>16</v>
      </c>
      <c r="I535" t="s">
        <v>484</v>
      </c>
      <c r="J535" t="s">
        <v>10</v>
      </c>
      <c r="K535" t="s">
        <v>12</v>
      </c>
      <c r="L535" t="s">
        <v>53</v>
      </c>
      <c r="M535">
        <v>603.91999999999996</v>
      </c>
      <c r="N535">
        <v>5</v>
      </c>
      <c r="O535">
        <v>0.2</v>
      </c>
      <c r="P535">
        <v>-67.941000000000003</v>
      </c>
      <c r="Q535" s="1">
        <v>-0.1125</v>
      </c>
      <c r="R535" t="s">
        <v>401</v>
      </c>
      <c r="S535" t="s">
        <v>408</v>
      </c>
    </row>
    <row r="536" spans="1:19" x14ac:dyDescent="0.3">
      <c r="A536">
        <v>1575</v>
      </c>
      <c r="B536" t="s">
        <v>1406</v>
      </c>
      <c r="C536">
        <v>2014</v>
      </c>
      <c r="D536" t="s">
        <v>410</v>
      </c>
      <c r="E536" t="s">
        <v>6</v>
      </c>
      <c r="F536" t="s">
        <v>284</v>
      </c>
      <c r="G536" t="s">
        <v>37</v>
      </c>
      <c r="H536" t="s">
        <v>38</v>
      </c>
      <c r="I536" t="s">
        <v>1407</v>
      </c>
      <c r="J536" t="s">
        <v>26</v>
      </c>
      <c r="K536" t="s">
        <v>27</v>
      </c>
      <c r="L536" t="s">
        <v>53</v>
      </c>
      <c r="M536">
        <v>40.68</v>
      </c>
      <c r="N536">
        <v>3</v>
      </c>
      <c r="O536">
        <v>0.2</v>
      </c>
      <c r="P536">
        <v>-9.1530000000000005</v>
      </c>
      <c r="Q536" s="1">
        <v>-0.22500000000000001</v>
      </c>
      <c r="R536" t="s">
        <v>401</v>
      </c>
      <c r="S536" t="s">
        <v>408</v>
      </c>
    </row>
    <row r="537" spans="1:19" x14ac:dyDescent="0.3">
      <c r="A537">
        <v>1579</v>
      </c>
      <c r="B537" t="s">
        <v>1408</v>
      </c>
      <c r="C537">
        <v>2016</v>
      </c>
      <c r="D537" t="s">
        <v>529</v>
      </c>
      <c r="E537" t="s">
        <v>6</v>
      </c>
      <c r="F537" t="s">
        <v>66</v>
      </c>
      <c r="G537" t="s">
        <v>67</v>
      </c>
      <c r="H537" t="s">
        <v>48</v>
      </c>
      <c r="I537" t="s">
        <v>1409</v>
      </c>
      <c r="J537" t="s">
        <v>17</v>
      </c>
      <c r="K537" t="s">
        <v>29</v>
      </c>
      <c r="L537" t="s">
        <v>53</v>
      </c>
      <c r="M537">
        <v>170.88</v>
      </c>
      <c r="N537">
        <v>3</v>
      </c>
      <c r="O537">
        <v>0</v>
      </c>
      <c r="P537">
        <v>49.555199999999999</v>
      </c>
      <c r="Q537" s="1">
        <v>0.28999999999999998</v>
      </c>
      <c r="R537" t="s">
        <v>4</v>
      </c>
      <c r="S537" t="s">
        <v>394</v>
      </c>
    </row>
    <row r="538" spans="1:19" x14ac:dyDescent="0.3">
      <c r="A538">
        <v>1590</v>
      </c>
      <c r="B538" t="s">
        <v>1410</v>
      </c>
      <c r="C538">
        <v>2016</v>
      </c>
      <c r="D538" t="s">
        <v>417</v>
      </c>
      <c r="E538" t="s">
        <v>13</v>
      </c>
      <c r="F538" t="s">
        <v>238</v>
      </c>
      <c r="G538" t="s">
        <v>74</v>
      </c>
      <c r="H538" t="s">
        <v>9</v>
      </c>
      <c r="I538" t="s">
        <v>795</v>
      </c>
      <c r="J538" t="s">
        <v>17</v>
      </c>
      <c r="K538" t="s">
        <v>25</v>
      </c>
      <c r="L538" t="s">
        <v>19</v>
      </c>
      <c r="M538">
        <v>10.96</v>
      </c>
      <c r="N538">
        <v>4</v>
      </c>
      <c r="O538">
        <v>0</v>
      </c>
      <c r="P538">
        <v>2.9592000000000001</v>
      </c>
      <c r="Q538" s="1">
        <v>0.27</v>
      </c>
      <c r="R538" t="s">
        <v>4</v>
      </c>
      <c r="S538" t="s">
        <v>394</v>
      </c>
    </row>
    <row r="539" spans="1:19" x14ac:dyDescent="0.3">
      <c r="A539">
        <v>1593</v>
      </c>
      <c r="B539" t="s">
        <v>1411</v>
      </c>
      <c r="C539">
        <v>2015</v>
      </c>
      <c r="D539" t="s">
        <v>396</v>
      </c>
      <c r="E539" t="s">
        <v>6</v>
      </c>
      <c r="F539" t="s">
        <v>240</v>
      </c>
      <c r="G539" t="s">
        <v>34</v>
      </c>
      <c r="H539" t="s">
        <v>16</v>
      </c>
      <c r="I539" t="s">
        <v>1412</v>
      </c>
      <c r="J539" t="s">
        <v>26</v>
      </c>
      <c r="K539" t="s">
        <v>27</v>
      </c>
      <c r="L539" t="s">
        <v>5</v>
      </c>
      <c r="M539">
        <v>201.56800000000001</v>
      </c>
      <c r="N539">
        <v>4</v>
      </c>
      <c r="O539">
        <v>0.2</v>
      </c>
      <c r="P539">
        <v>22.676400000000001</v>
      </c>
      <c r="Q539" s="1">
        <v>0.1125</v>
      </c>
      <c r="R539" t="s">
        <v>4</v>
      </c>
      <c r="S539" t="s">
        <v>408</v>
      </c>
    </row>
    <row r="540" spans="1:19" x14ac:dyDescent="0.3">
      <c r="A540">
        <v>1594</v>
      </c>
      <c r="B540" t="s">
        <v>1413</v>
      </c>
      <c r="C540">
        <v>2014</v>
      </c>
      <c r="D540" t="s">
        <v>399</v>
      </c>
      <c r="E540" t="s">
        <v>6</v>
      </c>
      <c r="F540" t="s">
        <v>14</v>
      </c>
      <c r="G540" t="s">
        <v>15</v>
      </c>
      <c r="H540" t="s">
        <v>16</v>
      </c>
      <c r="I540" t="s">
        <v>1414</v>
      </c>
      <c r="J540" t="s">
        <v>17</v>
      </c>
      <c r="K540" t="s">
        <v>32</v>
      </c>
      <c r="L540" t="s">
        <v>158</v>
      </c>
      <c r="M540">
        <v>13.44</v>
      </c>
      <c r="N540">
        <v>3</v>
      </c>
      <c r="O540">
        <v>0</v>
      </c>
      <c r="P540">
        <v>6.5856000000000003</v>
      </c>
      <c r="Q540" s="1">
        <v>0.49</v>
      </c>
      <c r="R540" t="s">
        <v>4</v>
      </c>
      <c r="S540" t="s">
        <v>394</v>
      </c>
    </row>
    <row r="541" spans="1:19" x14ac:dyDescent="0.3">
      <c r="A541">
        <v>1595</v>
      </c>
      <c r="B541" t="s">
        <v>1415</v>
      </c>
      <c r="C541">
        <v>2015</v>
      </c>
      <c r="D541" t="s">
        <v>447</v>
      </c>
      <c r="E541" t="s">
        <v>35</v>
      </c>
      <c r="F541" t="s">
        <v>165</v>
      </c>
      <c r="G541" t="s">
        <v>56</v>
      </c>
      <c r="H541" t="s">
        <v>38</v>
      </c>
      <c r="I541" t="s">
        <v>1416</v>
      </c>
      <c r="J541" t="s">
        <v>10</v>
      </c>
      <c r="K541" t="s">
        <v>11</v>
      </c>
      <c r="L541" t="s">
        <v>53</v>
      </c>
      <c r="M541">
        <v>359.05799999999999</v>
      </c>
      <c r="N541">
        <v>3</v>
      </c>
      <c r="O541">
        <v>0.3</v>
      </c>
      <c r="P541">
        <v>-35.905799999999999</v>
      </c>
      <c r="Q541" s="1">
        <v>-0.1</v>
      </c>
      <c r="R541" t="s">
        <v>401</v>
      </c>
      <c r="S541" t="s">
        <v>402</v>
      </c>
    </row>
    <row r="542" spans="1:19" x14ac:dyDescent="0.3">
      <c r="A542">
        <v>1596</v>
      </c>
      <c r="B542" t="s">
        <v>1417</v>
      </c>
      <c r="C542">
        <v>2017</v>
      </c>
      <c r="D542" t="s">
        <v>417</v>
      </c>
      <c r="E542" t="s">
        <v>6</v>
      </c>
      <c r="F542" t="s">
        <v>94</v>
      </c>
      <c r="G542" t="s">
        <v>95</v>
      </c>
      <c r="H542" t="s">
        <v>48</v>
      </c>
      <c r="I542" t="s">
        <v>1418</v>
      </c>
      <c r="J542" t="s">
        <v>10</v>
      </c>
      <c r="K542" t="s">
        <v>12</v>
      </c>
      <c r="L542" t="s">
        <v>19</v>
      </c>
      <c r="M542">
        <v>47.991999999999997</v>
      </c>
      <c r="N542">
        <v>2</v>
      </c>
      <c r="O542">
        <v>0.3</v>
      </c>
      <c r="P542">
        <v>-2.0568</v>
      </c>
      <c r="Q542" s="1">
        <v>-4.2857142857142899E-2</v>
      </c>
      <c r="R542" t="s">
        <v>401</v>
      </c>
      <c r="S542" t="s">
        <v>402</v>
      </c>
    </row>
    <row r="543" spans="1:19" x14ac:dyDescent="0.3">
      <c r="A543">
        <v>1602</v>
      </c>
      <c r="B543" t="s">
        <v>1419</v>
      </c>
      <c r="C543">
        <v>2016</v>
      </c>
      <c r="D543" t="s">
        <v>417</v>
      </c>
      <c r="E543" t="s">
        <v>13</v>
      </c>
      <c r="F543" t="s">
        <v>62</v>
      </c>
      <c r="G543" t="s">
        <v>63</v>
      </c>
      <c r="H543" t="s">
        <v>48</v>
      </c>
      <c r="I543" t="s">
        <v>1420</v>
      </c>
      <c r="J543" t="s">
        <v>10</v>
      </c>
      <c r="K543" t="s">
        <v>24</v>
      </c>
      <c r="L543" t="s">
        <v>5</v>
      </c>
      <c r="M543">
        <v>211.96</v>
      </c>
      <c r="N543">
        <v>2</v>
      </c>
      <c r="O543">
        <v>0</v>
      </c>
      <c r="P543">
        <v>42.392000000000003</v>
      </c>
      <c r="Q543" s="1">
        <v>0.2</v>
      </c>
      <c r="R543" t="s">
        <v>4</v>
      </c>
      <c r="S543" t="s">
        <v>394</v>
      </c>
    </row>
    <row r="544" spans="1:19" x14ac:dyDescent="0.3">
      <c r="A544">
        <v>1611</v>
      </c>
      <c r="B544" t="s">
        <v>1421</v>
      </c>
      <c r="C544">
        <v>2014</v>
      </c>
      <c r="D544" t="s">
        <v>417</v>
      </c>
      <c r="E544" t="s">
        <v>13</v>
      </c>
      <c r="F544" t="s">
        <v>14</v>
      </c>
      <c r="G544" t="s">
        <v>15</v>
      </c>
      <c r="H544" t="s">
        <v>16</v>
      </c>
      <c r="I544" t="s">
        <v>1416</v>
      </c>
      <c r="J544" t="s">
        <v>10</v>
      </c>
      <c r="K544" t="s">
        <v>11</v>
      </c>
      <c r="L544" t="s">
        <v>19</v>
      </c>
      <c r="M544">
        <v>290.666</v>
      </c>
      <c r="N544">
        <v>2</v>
      </c>
      <c r="O544">
        <v>0.15</v>
      </c>
      <c r="P544">
        <v>27.3568</v>
      </c>
      <c r="Q544" s="1">
        <v>9.41176470588235E-2</v>
      </c>
      <c r="R544" t="s">
        <v>4</v>
      </c>
      <c r="S544" t="s">
        <v>408</v>
      </c>
    </row>
    <row r="545" spans="1:19" x14ac:dyDescent="0.3">
      <c r="A545">
        <v>1615</v>
      </c>
      <c r="B545" t="s">
        <v>1422</v>
      </c>
      <c r="C545">
        <v>2016</v>
      </c>
      <c r="D545" t="s">
        <v>447</v>
      </c>
      <c r="E545" t="s">
        <v>35</v>
      </c>
      <c r="F545" t="s">
        <v>46</v>
      </c>
      <c r="G545" t="s">
        <v>47</v>
      </c>
      <c r="H545" t="s">
        <v>48</v>
      </c>
      <c r="I545" t="s">
        <v>1423</v>
      </c>
      <c r="J545" t="s">
        <v>26</v>
      </c>
      <c r="K545" t="s">
        <v>50</v>
      </c>
      <c r="L545" t="s">
        <v>19</v>
      </c>
      <c r="M545">
        <v>83.975999999999999</v>
      </c>
      <c r="N545">
        <v>3</v>
      </c>
      <c r="O545">
        <v>0.2</v>
      </c>
      <c r="P545">
        <v>-13.646100000000001</v>
      </c>
      <c r="Q545" s="1">
        <v>-0.16250000000000001</v>
      </c>
      <c r="R545" t="s">
        <v>401</v>
      </c>
      <c r="S545" t="s">
        <v>408</v>
      </c>
    </row>
    <row r="546" spans="1:19" x14ac:dyDescent="0.3">
      <c r="A546">
        <v>1616</v>
      </c>
      <c r="B546" t="s">
        <v>1424</v>
      </c>
      <c r="C546">
        <v>2015</v>
      </c>
      <c r="D546" t="s">
        <v>420</v>
      </c>
      <c r="E546" t="s">
        <v>35</v>
      </c>
      <c r="F546" t="s">
        <v>58</v>
      </c>
      <c r="G546" t="s">
        <v>59</v>
      </c>
      <c r="H546" t="s">
        <v>38</v>
      </c>
      <c r="I546" t="s">
        <v>1425</v>
      </c>
      <c r="J546" t="s">
        <v>17</v>
      </c>
      <c r="K546" t="s">
        <v>18</v>
      </c>
      <c r="L546" t="s">
        <v>19</v>
      </c>
      <c r="M546">
        <v>3.75</v>
      </c>
      <c r="N546">
        <v>1</v>
      </c>
      <c r="O546">
        <v>0</v>
      </c>
      <c r="P546">
        <v>1.8</v>
      </c>
      <c r="Q546" s="1">
        <v>0.48</v>
      </c>
      <c r="R546" t="s">
        <v>4</v>
      </c>
      <c r="S546" t="s">
        <v>394</v>
      </c>
    </row>
    <row r="547" spans="1:19" x14ac:dyDescent="0.3">
      <c r="A547">
        <v>1619</v>
      </c>
      <c r="B547" t="s">
        <v>1426</v>
      </c>
      <c r="C547">
        <v>2016</v>
      </c>
      <c r="D547" t="s">
        <v>428</v>
      </c>
      <c r="E547" t="s">
        <v>35</v>
      </c>
      <c r="F547" t="s">
        <v>66</v>
      </c>
      <c r="G547" t="s">
        <v>67</v>
      </c>
      <c r="H547" t="s">
        <v>48</v>
      </c>
      <c r="I547" t="s">
        <v>1427</v>
      </c>
      <c r="J547" t="s">
        <v>17</v>
      </c>
      <c r="K547" t="s">
        <v>23</v>
      </c>
      <c r="L547" t="s">
        <v>5</v>
      </c>
      <c r="M547">
        <v>59.48</v>
      </c>
      <c r="N547">
        <v>2</v>
      </c>
      <c r="O547">
        <v>0</v>
      </c>
      <c r="P547">
        <v>8.9220000000000006</v>
      </c>
      <c r="Q547" s="1">
        <v>0.15</v>
      </c>
      <c r="R547" t="s">
        <v>4</v>
      </c>
      <c r="S547" t="s">
        <v>394</v>
      </c>
    </row>
    <row r="548" spans="1:19" x14ac:dyDescent="0.3">
      <c r="A548">
        <v>1625</v>
      </c>
      <c r="B548" t="s">
        <v>1428</v>
      </c>
      <c r="C548">
        <v>2015</v>
      </c>
      <c r="D548" t="s">
        <v>410</v>
      </c>
      <c r="E548" t="s">
        <v>6</v>
      </c>
      <c r="F548" t="s">
        <v>14</v>
      </c>
      <c r="G548" t="s">
        <v>15</v>
      </c>
      <c r="H548" t="s">
        <v>16</v>
      </c>
      <c r="I548" t="s">
        <v>1313</v>
      </c>
      <c r="J548" t="s">
        <v>26</v>
      </c>
      <c r="K548" t="s">
        <v>27</v>
      </c>
      <c r="L548" t="s">
        <v>19</v>
      </c>
      <c r="M548">
        <v>675.96</v>
      </c>
      <c r="N548">
        <v>5</v>
      </c>
      <c r="O548">
        <v>0.2</v>
      </c>
      <c r="P548">
        <v>84.495000000000005</v>
      </c>
      <c r="Q548" s="1">
        <v>0.125</v>
      </c>
      <c r="R548" t="s">
        <v>4</v>
      </c>
      <c r="S548" t="s">
        <v>408</v>
      </c>
    </row>
    <row r="549" spans="1:19" x14ac:dyDescent="0.3">
      <c r="A549">
        <v>1627</v>
      </c>
      <c r="B549" t="s">
        <v>1429</v>
      </c>
      <c r="C549">
        <v>2015</v>
      </c>
      <c r="D549" t="s">
        <v>392</v>
      </c>
      <c r="E549" t="s">
        <v>35</v>
      </c>
      <c r="F549" t="s">
        <v>66</v>
      </c>
      <c r="G549" t="s">
        <v>67</v>
      </c>
      <c r="H549" t="s">
        <v>48</v>
      </c>
      <c r="I549" t="s">
        <v>886</v>
      </c>
      <c r="J549" t="s">
        <v>17</v>
      </c>
      <c r="K549" t="s">
        <v>29</v>
      </c>
      <c r="L549" t="s">
        <v>19</v>
      </c>
      <c r="M549">
        <v>523.25</v>
      </c>
      <c r="N549">
        <v>5</v>
      </c>
      <c r="O549">
        <v>0</v>
      </c>
      <c r="P549">
        <v>141.2775</v>
      </c>
      <c r="Q549" s="1">
        <v>0.27</v>
      </c>
      <c r="R549" t="s">
        <v>4</v>
      </c>
      <c r="S549" t="s">
        <v>394</v>
      </c>
    </row>
    <row r="550" spans="1:19" x14ac:dyDescent="0.3">
      <c r="A550">
        <v>1629</v>
      </c>
      <c r="B550" t="s">
        <v>1430</v>
      </c>
      <c r="C550">
        <v>2017</v>
      </c>
      <c r="D550" t="s">
        <v>396</v>
      </c>
      <c r="E550" t="s">
        <v>6</v>
      </c>
      <c r="F550" t="s">
        <v>208</v>
      </c>
      <c r="G550" t="s">
        <v>95</v>
      </c>
      <c r="H550" t="s">
        <v>48</v>
      </c>
      <c r="I550" t="s">
        <v>1431</v>
      </c>
      <c r="J550" t="s">
        <v>10</v>
      </c>
      <c r="K550" t="s">
        <v>24</v>
      </c>
      <c r="L550" t="s">
        <v>5</v>
      </c>
      <c r="M550">
        <v>17.920000000000002</v>
      </c>
      <c r="N550">
        <v>5</v>
      </c>
      <c r="O550">
        <v>0.2</v>
      </c>
      <c r="P550">
        <v>2.464</v>
      </c>
      <c r="Q550" s="1">
        <v>0.13750000000000001</v>
      </c>
      <c r="R550" t="s">
        <v>4</v>
      </c>
      <c r="S550" t="s">
        <v>408</v>
      </c>
    </row>
    <row r="551" spans="1:19" x14ac:dyDescent="0.3">
      <c r="A551">
        <v>1647</v>
      </c>
      <c r="B551" t="s">
        <v>1432</v>
      </c>
      <c r="C551">
        <v>2015</v>
      </c>
      <c r="D551" t="s">
        <v>392</v>
      </c>
      <c r="E551" t="s">
        <v>35</v>
      </c>
      <c r="F551" t="s">
        <v>46</v>
      </c>
      <c r="G551" t="s">
        <v>47</v>
      </c>
      <c r="H551" t="s">
        <v>48</v>
      </c>
      <c r="I551" t="s">
        <v>576</v>
      </c>
      <c r="J551" t="s">
        <v>26</v>
      </c>
      <c r="K551" t="s">
        <v>50</v>
      </c>
      <c r="L551" t="s">
        <v>53</v>
      </c>
      <c r="M551">
        <v>35.36</v>
      </c>
      <c r="N551">
        <v>2</v>
      </c>
      <c r="O551">
        <v>0.2</v>
      </c>
      <c r="P551">
        <v>-3.0939999999999999</v>
      </c>
      <c r="Q551" s="1">
        <v>-8.7499999999999994E-2</v>
      </c>
      <c r="R551" t="s">
        <v>401</v>
      </c>
      <c r="S551" t="s">
        <v>408</v>
      </c>
    </row>
    <row r="552" spans="1:19" x14ac:dyDescent="0.3">
      <c r="A552">
        <v>1651</v>
      </c>
      <c r="B552" t="s">
        <v>1433</v>
      </c>
      <c r="C552">
        <v>2014</v>
      </c>
      <c r="D552" t="s">
        <v>420</v>
      </c>
      <c r="E552" t="s">
        <v>13</v>
      </c>
      <c r="F552" t="s">
        <v>43</v>
      </c>
      <c r="G552" t="s">
        <v>15</v>
      </c>
      <c r="H552" t="s">
        <v>16</v>
      </c>
      <c r="I552" t="s">
        <v>1434</v>
      </c>
      <c r="J552" t="s">
        <v>17</v>
      </c>
      <c r="K552" t="s">
        <v>32</v>
      </c>
      <c r="L552" t="s">
        <v>158</v>
      </c>
      <c r="M552">
        <v>109.92</v>
      </c>
      <c r="N552">
        <v>2</v>
      </c>
      <c r="O552">
        <v>0</v>
      </c>
      <c r="P552">
        <v>53.860799999999998</v>
      </c>
      <c r="Q552" s="1">
        <v>0.49</v>
      </c>
      <c r="R552" t="s">
        <v>4</v>
      </c>
      <c r="S552" t="s">
        <v>394</v>
      </c>
    </row>
    <row r="553" spans="1:19" x14ac:dyDescent="0.3">
      <c r="A553">
        <v>1653</v>
      </c>
      <c r="B553" t="s">
        <v>1435</v>
      </c>
      <c r="C553">
        <v>2017</v>
      </c>
      <c r="D553" t="s">
        <v>392</v>
      </c>
      <c r="E553" t="s">
        <v>6</v>
      </c>
      <c r="F553" t="s">
        <v>33</v>
      </c>
      <c r="G553" t="s">
        <v>34</v>
      </c>
      <c r="H553" t="s">
        <v>16</v>
      </c>
      <c r="I553" t="s">
        <v>488</v>
      </c>
      <c r="J553" t="s">
        <v>17</v>
      </c>
      <c r="K553" t="s">
        <v>23</v>
      </c>
      <c r="L553" t="s">
        <v>53</v>
      </c>
      <c r="M553">
        <v>169.68</v>
      </c>
      <c r="N553">
        <v>6</v>
      </c>
      <c r="O553">
        <v>0</v>
      </c>
      <c r="P553">
        <v>45.813600000000001</v>
      </c>
      <c r="Q553" s="1">
        <v>0.27</v>
      </c>
      <c r="R553" t="s">
        <v>4</v>
      </c>
      <c r="S553" t="s">
        <v>394</v>
      </c>
    </row>
    <row r="554" spans="1:19" x14ac:dyDescent="0.3">
      <c r="A554">
        <v>1658</v>
      </c>
      <c r="B554" t="s">
        <v>1436</v>
      </c>
      <c r="C554">
        <v>2014</v>
      </c>
      <c r="D554" t="s">
        <v>417</v>
      </c>
      <c r="E554" t="s">
        <v>6</v>
      </c>
      <c r="F554" t="s">
        <v>225</v>
      </c>
      <c r="G554" t="s">
        <v>40</v>
      </c>
      <c r="H554" t="s">
        <v>38</v>
      </c>
      <c r="I554" t="s">
        <v>924</v>
      </c>
      <c r="J554" t="s">
        <v>10</v>
      </c>
      <c r="K554" t="s">
        <v>24</v>
      </c>
      <c r="L554" t="s">
        <v>53</v>
      </c>
      <c r="M554">
        <v>34.79</v>
      </c>
      <c r="N554">
        <v>7</v>
      </c>
      <c r="O554">
        <v>0</v>
      </c>
      <c r="P554">
        <v>10.7849</v>
      </c>
      <c r="Q554" s="1">
        <v>0.31</v>
      </c>
      <c r="R554" t="s">
        <v>4</v>
      </c>
      <c r="S554" t="s">
        <v>394</v>
      </c>
    </row>
    <row r="555" spans="1:19" x14ac:dyDescent="0.3">
      <c r="A555">
        <v>1670</v>
      </c>
      <c r="B555" t="s">
        <v>1437</v>
      </c>
      <c r="C555">
        <v>2015</v>
      </c>
      <c r="D555" t="s">
        <v>430</v>
      </c>
      <c r="E555" t="s">
        <v>6</v>
      </c>
      <c r="F555" t="s">
        <v>66</v>
      </c>
      <c r="G555" t="s">
        <v>67</v>
      </c>
      <c r="H555" t="s">
        <v>48</v>
      </c>
      <c r="I555" t="s">
        <v>1438</v>
      </c>
      <c r="J555" t="s">
        <v>10</v>
      </c>
      <c r="K555" t="s">
        <v>22</v>
      </c>
      <c r="L555" t="s">
        <v>19</v>
      </c>
      <c r="M555">
        <v>1018.104</v>
      </c>
      <c r="N555">
        <v>4</v>
      </c>
      <c r="O555">
        <v>0.4</v>
      </c>
      <c r="P555">
        <v>-373.3048</v>
      </c>
      <c r="Q555" s="1">
        <v>-0.36666666666666697</v>
      </c>
      <c r="R555" t="s">
        <v>401</v>
      </c>
      <c r="S555" t="s">
        <v>402</v>
      </c>
    </row>
    <row r="556" spans="1:19" x14ac:dyDescent="0.3">
      <c r="A556">
        <v>1672</v>
      </c>
      <c r="B556" t="s">
        <v>1439</v>
      </c>
      <c r="C556">
        <v>2016</v>
      </c>
      <c r="D556" t="s">
        <v>447</v>
      </c>
      <c r="E556" t="s">
        <v>13</v>
      </c>
      <c r="F556" t="s">
        <v>276</v>
      </c>
      <c r="G556" t="s">
        <v>167</v>
      </c>
      <c r="H556" t="s">
        <v>16</v>
      </c>
      <c r="I556" t="s">
        <v>1440</v>
      </c>
      <c r="J556" t="s">
        <v>26</v>
      </c>
      <c r="K556" t="s">
        <v>50</v>
      </c>
      <c r="L556" t="s">
        <v>53</v>
      </c>
      <c r="M556">
        <v>58.58</v>
      </c>
      <c r="N556">
        <v>2</v>
      </c>
      <c r="O556">
        <v>0</v>
      </c>
      <c r="P556">
        <v>19.331399999999999</v>
      </c>
      <c r="Q556" s="1">
        <v>0.33</v>
      </c>
      <c r="R556" t="s">
        <v>4</v>
      </c>
      <c r="S556" t="s">
        <v>394</v>
      </c>
    </row>
    <row r="557" spans="1:19" x14ac:dyDescent="0.3">
      <c r="A557">
        <v>1674</v>
      </c>
      <c r="B557" t="s">
        <v>1441</v>
      </c>
      <c r="C557">
        <v>2015</v>
      </c>
      <c r="D557" t="s">
        <v>410</v>
      </c>
      <c r="E557" t="s">
        <v>6</v>
      </c>
      <c r="F557" t="s">
        <v>289</v>
      </c>
      <c r="G557" t="s">
        <v>74</v>
      </c>
      <c r="H557" t="s">
        <v>9</v>
      </c>
      <c r="I557" t="s">
        <v>1442</v>
      </c>
      <c r="J557" t="s">
        <v>17</v>
      </c>
      <c r="K557" t="s">
        <v>18</v>
      </c>
      <c r="L557" t="s">
        <v>53</v>
      </c>
      <c r="M557">
        <v>196.62</v>
      </c>
      <c r="N557">
        <v>2</v>
      </c>
      <c r="O557">
        <v>0</v>
      </c>
      <c r="P557">
        <v>96.343800000000002</v>
      </c>
      <c r="Q557" s="1">
        <v>0.49</v>
      </c>
      <c r="R557" t="s">
        <v>4</v>
      </c>
      <c r="S557" t="s">
        <v>394</v>
      </c>
    </row>
    <row r="558" spans="1:19" x14ac:dyDescent="0.3">
      <c r="A558">
        <v>1677</v>
      </c>
      <c r="B558" t="s">
        <v>1443</v>
      </c>
      <c r="C558">
        <v>2016</v>
      </c>
      <c r="D558" t="s">
        <v>417</v>
      </c>
      <c r="E558" t="s">
        <v>6</v>
      </c>
      <c r="F558" t="s">
        <v>43</v>
      </c>
      <c r="G558" t="s">
        <v>15</v>
      </c>
      <c r="H558" t="s">
        <v>16</v>
      </c>
      <c r="I558" t="s">
        <v>458</v>
      </c>
      <c r="J558" t="s">
        <v>17</v>
      </c>
      <c r="K558" t="s">
        <v>23</v>
      </c>
      <c r="L558" t="s">
        <v>19</v>
      </c>
      <c r="M558">
        <v>104.28</v>
      </c>
      <c r="N558">
        <v>3</v>
      </c>
      <c r="O558">
        <v>0</v>
      </c>
      <c r="P558">
        <v>26.07</v>
      </c>
      <c r="Q558" s="1">
        <v>0.25</v>
      </c>
      <c r="R558" t="s">
        <v>4</v>
      </c>
      <c r="S558" t="s">
        <v>394</v>
      </c>
    </row>
    <row r="559" spans="1:19" x14ac:dyDescent="0.3">
      <c r="A559">
        <v>1679</v>
      </c>
      <c r="B559" t="s">
        <v>1444</v>
      </c>
      <c r="C559">
        <v>2014</v>
      </c>
      <c r="D559" t="s">
        <v>428</v>
      </c>
      <c r="E559" t="s">
        <v>13</v>
      </c>
      <c r="F559" t="s">
        <v>46</v>
      </c>
      <c r="G559" t="s">
        <v>47</v>
      </c>
      <c r="H559" t="s">
        <v>48</v>
      </c>
      <c r="I559" t="s">
        <v>1299</v>
      </c>
      <c r="J559" t="s">
        <v>17</v>
      </c>
      <c r="K559" t="s">
        <v>23</v>
      </c>
      <c r="L559" t="s">
        <v>19</v>
      </c>
      <c r="M559">
        <v>64.784000000000006</v>
      </c>
      <c r="N559">
        <v>1</v>
      </c>
      <c r="O559">
        <v>0.2</v>
      </c>
      <c r="P559">
        <v>-14.5764</v>
      </c>
      <c r="Q559" s="1">
        <v>-0.22500000000000001</v>
      </c>
      <c r="R559" t="s">
        <v>401</v>
      </c>
      <c r="S559" t="s">
        <v>408</v>
      </c>
    </row>
    <row r="560" spans="1:19" x14ac:dyDescent="0.3">
      <c r="A560">
        <v>1685</v>
      </c>
      <c r="B560" t="s">
        <v>1445</v>
      </c>
      <c r="C560">
        <v>2017</v>
      </c>
      <c r="D560" t="s">
        <v>406</v>
      </c>
      <c r="E560" t="s">
        <v>13</v>
      </c>
      <c r="F560" t="s">
        <v>46</v>
      </c>
      <c r="G560" t="s">
        <v>47</v>
      </c>
      <c r="H560" t="s">
        <v>48</v>
      </c>
      <c r="I560" t="s">
        <v>1446</v>
      </c>
      <c r="J560" t="s">
        <v>17</v>
      </c>
      <c r="K560" t="s">
        <v>29</v>
      </c>
      <c r="L560" t="s">
        <v>53</v>
      </c>
      <c r="M560">
        <v>99.28</v>
      </c>
      <c r="N560">
        <v>2</v>
      </c>
      <c r="O560">
        <v>0.2</v>
      </c>
      <c r="P560">
        <v>12.41</v>
      </c>
      <c r="Q560" s="1">
        <v>0.125</v>
      </c>
      <c r="R560" t="s">
        <v>4</v>
      </c>
      <c r="S560" t="s">
        <v>408</v>
      </c>
    </row>
    <row r="561" spans="1:19" x14ac:dyDescent="0.3">
      <c r="A561">
        <v>1690</v>
      </c>
      <c r="B561" t="s">
        <v>1447</v>
      </c>
      <c r="C561">
        <v>2014</v>
      </c>
      <c r="D561" t="s">
        <v>420</v>
      </c>
      <c r="E561" t="s">
        <v>6</v>
      </c>
      <c r="F561" t="s">
        <v>46</v>
      </c>
      <c r="G561" t="s">
        <v>47</v>
      </c>
      <c r="H561" t="s">
        <v>48</v>
      </c>
      <c r="I561" t="s">
        <v>757</v>
      </c>
      <c r="J561" t="s">
        <v>10</v>
      </c>
      <c r="K561" t="s">
        <v>22</v>
      </c>
      <c r="L561" t="s">
        <v>19</v>
      </c>
      <c r="M561">
        <v>853.09199999999998</v>
      </c>
      <c r="N561">
        <v>6</v>
      </c>
      <c r="O561">
        <v>0.4</v>
      </c>
      <c r="P561">
        <v>-227.49119999999999</v>
      </c>
      <c r="Q561" s="1">
        <v>-0.266666666666667</v>
      </c>
      <c r="R561" t="s">
        <v>401</v>
      </c>
      <c r="S561" t="s">
        <v>402</v>
      </c>
    </row>
    <row r="562" spans="1:19" x14ac:dyDescent="0.3">
      <c r="A562">
        <v>1693</v>
      </c>
      <c r="B562" t="s">
        <v>1448</v>
      </c>
      <c r="C562">
        <v>2016</v>
      </c>
      <c r="D562" t="s">
        <v>447</v>
      </c>
      <c r="E562" t="s">
        <v>6</v>
      </c>
      <c r="F562" t="s">
        <v>94</v>
      </c>
      <c r="G562" t="s">
        <v>95</v>
      </c>
      <c r="H562" t="s">
        <v>48</v>
      </c>
      <c r="I562" t="s">
        <v>1449</v>
      </c>
      <c r="J562" t="s">
        <v>10</v>
      </c>
      <c r="K562" t="s">
        <v>24</v>
      </c>
      <c r="L562" t="s">
        <v>19</v>
      </c>
      <c r="M562">
        <v>21.88</v>
      </c>
      <c r="N562">
        <v>5</v>
      </c>
      <c r="O562">
        <v>0.2</v>
      </c>
      <c r="P562">
        <v>6.2904999999999998</v>
      </c>
      <c r="Q562" s="1">
        <v>0.28749999999999998</v>
      </c>
      <c r="R562" t="s">
        <v>4</v>
      </c>
      <c r="S562" t="s">
        <v>408</v>
      </c>
    </row>
    <row r="563" spans="1:19" x14ac:dyDescent="0.3">
      <c r="A563">
        <v>1700</v>
      </c>
      <c r="B563" t="s">
        <v>1450</v>
      </c>
      <c r="C563">
        <v>2014</v>
      </c>
      <c r="D563" t="s">
        <v>396</v>
      </c>
      <c r="E563" t="s">
        <v>6</v>
      </c>
      <c r="F563" t="s">
        <v>33</v>
      </c>
      <c r="G563" t="s">
        <v>34</v>
      </c>
      <c r="H563" t="s">
        <v>16</v>
      </c>
      <c r="I563" t="s">
        <v>1182</v>
      </c>
      <c r="J563" t="s">
        <v>10</v>
      </c>
      <c r="K563" t="s">
        <v>22</v>
      </c>
      <c r="L563" t="s">
        <v>5</v>
      </c>
      <c r="M563">
        <v>515.88</v>
      </c>
      <c r="N563">
        <v>6</v>
      </c>
      <c r="O563">
        <v>0</v>
      </c>
      <c r="P563">
        <v>113.4936</v>
      </c>
      <c r="Q563" s="1">
        <v>0.22</v>
      </c>
      <c r="R563" t="s">
        <v>4</v>
      </c>
      <c r="S563" t="s">
        <v>394</v>
      </c>
    </row>
    <row r="564" spans="1:19" x14ac:dyDescent="0.3">
      <c r="A564">
        <v>1701</v>
      </c>
      <c r="B564" t="s">
        <v>1451</v>
      </c>
      <c r="C564">
        <v>2015</v>
      </c>
      <c r="D564" t="s">
        <v>425</v>
      </c>
      <c r="E564" t="s">
        <v>6</v>
      </c>
      <c r="F564" t="s">
        <v>66</v>
      </c>
      <c r="G564" t="s">
        <v>67</v>
      </c>
      <c r="H564" t="s">
        <v>48</v>
      </c>
      <c r="I564" t="s">
        <v>1452</v>
      </c>
      <c r="J564" t="s">
        <v>17</v>
      </c>
      <c r="K564" t="s">
        <v>28</v>
      </c>
      <c r="L564" t="s">
        <v>5</v>
      </c>
      <c r="M564">
        <v>11.808</v>
      </c>
      <c r="N564">
        <v>2</v>
      </c>
      <c r="O564">
        <v>0.2</v>
      </c>
      <c r="P564">
        <v>4.2804000000000002</v>
      </c>
      <c r="Q564" s="1">
        <v>0.36249999999999999</v>
      </c>
      <c r="R564" t="s">
        <v>4</v>
      </c>
      <c r="S564" t="s">
        <v>408</v>
      </c>
    </row>
    <row r="565" spans="1:19" x14ac:dyDescent="0.3">
      <c r="A565">
        <v>1704</v>
      </c>
      <c r="B565" t="s">
        <v>1453</v>
      </c>
      <c r="C565">
        <v>2014</v>
      </c>
      <c r="D565" t="s">
        <v>529</v>
      </c>
      <c r="E565" t="s">
        <v>35</v>
      </c>
      <c r="F565" t="s">
        <v>134</v>
      </c>
      <c r="G565" t="s">
        <v>15</v>
      </c>
      <c r="H565" t="s">
        <v>16</v>
      </c>
      <c r="I565" t="s">
        <v>1454</v>
      </c>
      <c r="J565" t="s">
        <v>17</v>
      </c>
      <c r="K565" t="s">
        <v>68</v>
      </c>
      <c r="L565" t="s">
        <v>19</v>
      </c>
      <c r="M565">
        <v>12.35</v>
      </c>
      <c r="N565">
        <v>5</v>
      </c>
      <c r="O565">
        <v>0</v>
      </c>
      <c r="P565">
        <v>5.8045</v>
      </c>
      <c r="Q565" s="1">
        <v>0.47</v>
      </c>
      <c r="R565" t="s">
        <v>4</v>
      </c>
      <c r="S565" t="s">
        <v>394</v>
      </c>
    </row>
    <row r="566" spans="1:19" x14ac:dyDescent="0.3">
      <c r="A566">
        <v>1713</v>
      </c>
      <c r="B566" t="s">
        <v>1455</v>
      </c>
      <c r="C566">
        <v>2015</v>
      </c>
      <c r="D566" t="s">
        <v>430</v>
      </c>
      <c r="E566" t="s">
        <v>6</v>
      </c>
      <c r="F566" t="s">
        <v>52</v>
      </c>
      <c r="G566" t="s">
        <v>37</v>
      </c>
      <c r="H566" t="s">
        <v>38</v>
      </c>
      <c r="I566" t="s">
        <v>1456</v>
      </c>
      <c r="J566" t="s">
        <v>17</v>
      </c>
      <c r="K566" t="s">
        <v>32</v>
      </c>
      <c r="L566" t="s">
        <v>19</v>
      </c>
      <c r="M566">
        <v>14.304</v>
      </c>
      <c r="N566">
        <v>6</v>
      </c>
      <c r="O566">
        <v>0.2</v>
      </c>
      <c r="P566">
        <v>5.0064000000000002</v>
      </c>
      <c r="Q566" s="1">
        <v>0.35</v>
      </c>
      <c r="R566" t="s">
        <v>4</v>
      </c>
      <c r="S566" t="s">
        <v>408</v>
      </c>
    </row>
    <row r="567" spans="1:19" x14ac:dyDescent="0.3">
      <c r="A567">
        <v>1714</v>
      </c>
      <c r="B567" t="s">
        <v>1457</v>
      </c>
      <c r="C567">
        <v>2017</v>
      </c>
      <c r="D567" t="s">
        <v>428</v>
      </c>
      <c r="E567" t="s">
        <v>6</v>
      </c>
      <c r="F567" t="s">
        <v>70</v>
      </c>
      <c r="G567" t="s">
        <v>56</v>
      </c>
      <c r="H567" t="s">
        <v>38</v>
      </c>
      <c r="I567" t="s">
        <v>590</v>
      </c>
      <c r="J567" t="s">
        <v>10</v>
      </c>
      <c r="K567" t="s">
        <v>22</v>
      </c>
      <c r="L567" t="s">
        <v>5</v>
      </c>
      <c r="M567">
        <v>765.625</v>
      </c>
      <c r="N567">
        <v>7</v>
      </c>
      <c r="O567">
        <v>0.5</v>
      </c>
      <c r="P567">
        <v>-566.5625</v>
      </c>
      <c r="Q567" s="1">
        <v>-0.74</v>
      </c>
      <c r="R567" t="s">
        <v>401</v>
      </c>
      <c r="S567" t="s">
        <v>402</v>
      </c>
    </row>
    <row r="568" spans="1:19" x14ac:dyDescent="0.3">
      <c r="A568">
        <v>1715</v>
      </c>
      <c r="B568" t="s">
        <v>1458</v>
      </c>
      <c r="C568">
        <v>2017</v>
      </c>
      <c r="D568" t="s">
        <v>399</v>
      </c>
      <c r="E568" t="s">
        <v>6</v>
      </c>
      <c r="F568" t="s">
        <v>43</v>
      </c>
      <c r="G568" t="s">
        <v>15</v>
      </c>
      <c r="H568" t="s">
        <v>16</v>
      </c>
      <c r="I568" t="s">
        <v>1459</v>
      </c>
      <c r="J568" t="s">
        <v>10</v>
      </c>
      <c r="K568" t="s">
        <v>11</v>
      </c>
      <c r="L568" t="s">
        <v>19</v>
      </c>
      <c r="M568">
        <v>307.666</v>
      </c>
      <c r="N568">
        <v>2</v>
      </c>
      <c r="O568">
        <v>0.15</v>
      </c>
      <c r="P568">
        <v>-14.478400000000001</v>
      </c>
      <c r="Q568" s="1">
        <v>-4.7058823529411799E-2</v>
      </c>
      <c r="R568" t="s">
        <v>401</v>
      </c>
      <c r="S568" t="s">
        <v>408</v>
      </c>
    </row>
    <row r="569" spans="1:19" x14ac:dyDescent="0.3">
      <c r="A569">
        <v>1716</v>
      </c>
      <c r="B569" t="s">
        <v>1460</v>
      </c>
      <c r="C569">
        <v>2016</v>
      </c>
      <c r="D569" t="s">
        <v>406</v>
      </c>
      <c r="E569" t="s">
        <v>6</v>
      </c>
      <c r="F569" t="s">
        <v>66</v>
      </c>
      <c r="G569" t="s">
        <v>67</v>
      </c>
      <c r="H569" t="s">
        <v>48</v>
      </c>
      <c r="I569" t="s">
        <v>674</v>
      </c>
      <c r="J569" t="s">
        <v>17</v>
      </c>
      <c r="K569" t="s">
        <v>28</v>
      </c>
      <c r="L569" t="s">
        <v>19</v>
      </c>
      <c r="M569">
        <v>7.7119999999999997</v>
      </c>
      <c r="N569">
        <v>2</v>
      </c>
      <c r="O569">
        <v>0.2</v>
      </c>
      <c r="P569">
        <v>2.7955999999999999</v>
      </c>
      <c r="Q569" s="1">
        <v>0.36249999999999999</v>
      </c>
      <c r="R569" t="s">
        <v>4</v>
      </c>
      <c r="S569" t="s">
        <v>408</v>
      </c>
    </row>
    <row r="570" spans="1:19" x14ac:dyDescent="0.3">
      <c r="A570">
        <v>1728</v>
      </c>
      <c r="B570" t="s">
        <v>1461</v>
      </c>
      <c r="C570">
        <v>2017</v>
      </c>
      <c r="D570" t="s">
        <v>406</v>
      </c>
      <c r="E570" t="s">
        <v>13</v>
      </c>
      <c r="F570" t="s">
        <v>129</v>
      </c>
      <c r="G570" t="s">
        <v>95</v>
      </c>
      <c r="H570" t="s">
        <v>48</v>
      </c>
      <c r="I570" t="s">
        <v>1462</v>
      </c>
      <c r="J570" t="s">
        <v>10</v>
      </c>
      <c r="K570" t="s">
        <v>22</v>
      </c>
      <c r="L570" t="s">
        <v>5</v>
      </c>
      <c r="M570">
        <v>1048.3499999999999</v>
      </c>
      <c r="N570">
        <v>5</v>
      </c>
      <c r="O570">
        <v>0.4</v>
      </c>
      <c r="P570">
        <v>-69.89</v>
      </c>
      <c r="Q570" s="1">
        <v>-6.6666666666666693E-2</v>
      </c>
      <c r="R570" t="s">
        <v>401</v>
      </c>
      <c r="S570" t="s">
        <v>402</v>
      </c>
    </row>
    <row r="571" spans="1:19" x14ac:dyDescent="0.3">
      <c r="A571">
        <v>1729</v>
      </c>
      <c r="B571" t="s">
        <v>1463</v>
      </c>
      <c r="C571">
        <v>2016</v>
      </c>
      <c r="D571" t="s">
        <v>529</v>
      </c>
      <c r="E571" t="s">
        <v>6</v>
      </c>
      <c r="F571" t="s">
        <v>73</v>
      </c>
      <c r="G571" t="s">
        <v>74</v>
      </c>
      <c r="H571" t="s">
        <v>9</v>
      </c>
      <c r="I571" t="s">
        <v>1464</v>
      </c>
      <c r="J571" t="s">
        <v>26</v>
      </c>
      <c r="K571" t="s">
        <v>50</v>
      </c>
      <c r="L571" t="s">
        <v>158</v>
      </c>
      <c r="M571">
        <v>100</v>
      </c>
      <c r="N571">
        <v>4</v>
      </c>
      <c r="O571">
        <v>0</v>
      </c>
      <c r="P571">
        <v>21</v>
      </c>
      <c r="Q571" s="1">
        <v>0.21</v>
      </c>
      <c r="R571" t="s">
        <v>4</v>
      </c>
      <c r="S571" t="s">
        <v>394</v>
      </c>
    </row>
    <row r="572" spans="1:19" x14ac:dyDescent="0.3">
      <c r="A572">
        <v>1735</v>
      </c>
      <c r="B572" t="s">
        <v>1465</v>
      </c>
      <c r="C572">
        <v>2017</v>
      </c>
      <c r="D572" t="s">
        <v>425</v>
      </c>
      <c r="E572" t="s">
        <v>6</v>
      </c>
      <c r="F572" t="s">
        <v>179</v>
      </c>
      <c r="G572" t="s">
        <v>31</v>
      </c>
      <c r="H572" t="s">
        <v>9</v>
      </c>
      <c r="I572" t="s">
        <v>1466</v>
      </c>
      <c r="J572" t="s">
        <v>17</v>
      </c>
      <c r="K572" t="s">
        <v>29</v>
      </c>
      <c r="L572" t="s">
        <v>5</v>
      </c>
      <c r="M572">
        <v>34.847999999999999</v>
      </c>
      <c r="N572">
        <v>2</v>
      </c>
      <c r="O572">
        <v>0.2</v>
      </c>
      <c r="P572">
        <v>6.5339999999999998</v>
      </c>
      <c r="Q572" s="1">
        <v>0.1875</v>
      </c>
      <c r="R572" t="s">
        <v>4</v>
      </c>
      <c r="S572" t="s">
        <v>408</v>
      </c>
    </row>
    <row r="573" spans="1:19" x14ac:dyDescent="0.3">
      <c r="A573">
        <v>1746</v>
      </c>
      <c r="B573" t="s">
        <v>1467</v>
      </c>
      <c r="C573">
        <v>2014</v>
      </c>
      <c r="D573" t="s">
        <v>396</v>
      </c>
      <c r="E573" t="s">
        <v>6</v>
      </c>
      <c r="F573" t="s">
        <v>83</v>
      </c>
      <c r="G573" t="s">
        <v>67</v>
      </c>
      <c r="H573" t="s">
        <v>48</v>
      </c>
      <c r="I573" t="s">
        <v>1468</v>
      </c>
      <c r="J573" t="s">
        <v>17</v>
      </c>
      <c r="K573" t="s">
        <v>25</v>
      </c>
      <c r="L573" t="s">
        <v>53</v>
      </c>
      <c r="M573">
        <v>13.36</v>
      </c>
      <c r="N573">
        <v>2</v>
      </c>
      <c r="O573">
        <v>0</v>
      </c>
      <c r="P573">
        <v>4.9432</v>
      </c>
      <c r="Q573" s="1">
        <v>0.37</v>
      </c>
      <c r="R573" t="s">
        <v>4</v>
      </c>
      <c r="S573" t="s">
        <v>394</v>
      </c>
    </row>
    <row r="574" spans="1:19" x14ac:dyDescent="0.3">
      <c r="A574">
        <v>1747</v>
      </c>
      <c r="B574" t="s">
        <v>1469</v>
      </c>
      <c r="C574">
        <v>2016</v>
      </c>
      <c r="D574" t="s">
        <v>420</v>
      </c>
      <c r="E574" t="s">
        <v>6</v>
      </c>
      <c r="F574" t="s">
        <v>179</v>
      </c>
      <c r="G574" t="s">
        <v>31</v>
      </c>
      <c r="H574" t="s">
        <v>9</v>
      </c>
      <c r="I574" t="s">
        <v>1470</v>
      </c>
      <c r="J574" t="s">
        <v>17</v>
      </c>
      <c r="K574" t="s">
        <v>28</v>
      </c>
      <c r="L574" t="s">
        <v>5</v>
      </c>
      <c r="M574">
        <v>11.231999999999999</v>
      </c>
      <c r="N574">
        <v>8</v>
      </c>
      <c r="O574">
        <v>0.7</v>
      </c>
      <c r="P574">
        <v>-8.2368000000000006</v>
      </c>
      <c r="Q574" s="1">
        <v>-0.73333333333333395</v>
      </c>
      <c r="R574" t="s">
        <v>401</v>
      </c>
      <c r="S574" t="s">
        <v>402</v>
      </c>
    </row>
    <row r="575" spans="1:19" x14ac:dyDescent="0.3">
      <c r="A575">
        <v>1749</v>
      </c>
      <c r="B575" t="s">
        <v>1471</v>
      </c>
      <c r="C575">
        <v>2014</v>
      </c>
      <c r="D575" t="s">
        <v>406</v>
      </c>
      <c r="E575" t="s">
        <v>35</v>
      </c>
      <c r="F575" t="s">
        <v>52</v>
      </c>
      <c r="G575" t="s">
        <v>37</v>
      </c>
      <c r="H575" t="s">
        <v>38</v>
      </c>
      <c r="I575" t="s">
        <v>1472</v>
      </c>
      <c r="J575" t="s">
        <v>17</v>
      </c>
      <c r="K575" t="s">
        <v>32</v>
      </c>
      <c r="L575" t="s">
        <v>19</v>
      </c>
      <c r="M575">
        <v>10.368</v>
      </c>
      <c r="N575">
        <v>2</v>
      </c>
      <c r="O575">
        <v>0.2</v>
      </c>
      <c r="P575">
        <v>3.6288</v>
      </c>
      <c r="Q575" s="1">
        <v>0.35</v>
      </c>
      <c r="R575" t="s">
        <v>4</v>
      </c>
      <c r="S575" t="s">
        <v>408</v>
      </c>
    </row>
    <row r="576" spans="1:19" x14ac:dyDescent="0.3">
      <c r="A576">
        <v>1753</v>
      </c>
      <c r="B576" t="s">
        <v>1473</v>
      </c>
      <c r="C576">
        <v>2017</v>
      </c>
      <c r="D576" t="s">
        <v>410</v>
      </c>
      <c r="E576" t="s">
        <v>13</v>
      </c>
      <c r="F576" t="s">
        <v>43</v>
      </c>
      <c r="G576" t="s">
        <v>15</v>
      </c>
      <c r="H576" t="s">
        <v>16</v>
      </c>
      <c r="I576" t="s">
        <v>1474</v>
      </c>
      <c r="J576" t="s">
        <v>17</v>
      </c>
      <c r="K576" t="s">
        <v>23</v>
      </c>
      <c r="L576" t="s">
        <v>53</v>
      </c>
      <c r="M576">
        <v>559.62</v>
      </c>
      <c r="N576">
        <v>9</v>
      </c>
      <c r="O576">
        <v>0</v>
      </c>
      <c r="P576">
        <v>151.09739999999999</v>
      </c>
      <c r="Q576" s="1">
        <v>0.27</v>
      </c>
      <c r="R576" t="s">
        <v>4</v>
      </c>
      <c r="S576" t="s">
        <v>394</v>
      </c>
    </row>
    <row r="577" spans="1:19" x14ac:dyDescent="0.3">
      <c r="A577">
        <v>1756</v>
      </c>
      <c r="B577" t="s">
        <v>1475</v>
      </c>
      <c r="C577">
        <v>2015</v>
      </c>
      <c r="D577" t="s">
        <v>410</v>
      </c>
      <c r="E577" t="s">
        <v>35</v>
      </c>
      <c r="F577" t="s">
        <v>36</v>
      </c>
      <c r="G577" t="s">
        <v>37</v>
      </c>
      <c r="H577" t="s">
        <v>38</v>
      </c>
      <c r="I577" t="s">
        <v>1476</v>
      </c>
      <c r="J577" t="s">
        <v>17</v>
      </c>
      <c r="K577" t="s">
        <v>32</v>
      </c>
      <c r="L577" t="s">
        <v>5</v>
      </c>
      <c r="M577">
        <v>360.71199999999999</v>
      </c>
      <c r="N577">
        <v>11</v>
      </c>
      <c r="O577">
        <v>0.2</v>
      </c>
      <c r="P577">
        <v>130.75810000000001</v>
      </c>
      <c r="Q577" s="1">
        <v>0.36249999999999999</v>
      </c>
      <c r="R577" t="s">
        <v>4</v>
      </c>
      <c r="S577" t="s">
        <v>408</v>
      </c>
    </row>
    <row r="578" spans="1:19" x14ac:dyDescent="0.3">
      <c r="A578">
        <v>1760</v>
      </c>
      <c r="B578" t="s">
        <v>1477</v>
      </c>
      <c r="C578">
        <v>2014</v>
      </c>
      <c r="D578" t="s">
        <v>430</v>
      </c>
      <c r="E578" t="s">
        <v>6</v>
      </c>
      <c r="F578" t="s">
        <v>46</v>
      </c>
      <c r="G578" t="s">
        <v>47</v>
      </c>
      <c r="H578" t="s">
        <v>48</v>
      </c>
      <c r="I578" t="s">
        <v>727</v>
      </c>
      <c r="J578" t="s">
        <v>17</v>
      </c>
      <c r="K578" t="s">
        <v>25</v>
      </c>
      <c r="L578" t="s">
        <v>19</v>
      </c>
      <c r="M578">
        <v>19.536000000000001</v>
      </c>
      <c r="N578">
        <v>3</v>
      </c>
      <c r="O578">
        <v>0.2</v>
      </c>
      <c r="P578">
        <v>4.8840000000000003</v>
      </c>
      <c r="Q578" s="1">
        <v>0.25</v>
      </c>
      <c r="R578" t="s">
        <v>4</v>
      </c>
      <c r="S578" t="s">
        <v>408</v>
      </c>
    </row>
    <row r="579" spans="1:19" x14ac:dyDescent="0.3">
      <c r="A579">
        <v>1761</v>
      </c>
      <c r="B579" t="s">
        <v>1478</v>
      </c>
      <c r="C579">
        <v>2015</v>
      </c>
      <c r="D579" t="s">
        <v>428</v>
      </c>
      <c r="E579" t="s">
        <v>6</v>
      </c>
      <c r="F579" t="s">
        <v>134</v>
      </c>
      <c r="G579" t="s">
        <v>15</v>
      </c>
      <c r="H579" t="s">
        <v>16</v>
      </c>
      <c r="I579" t="s">
        <v>1479</v>
      </c>
      <c r="J579" t="s">
        <v>10</v>
      </c>
      <c r="K579" t="s">
        <v>11</v>
      </c>
      <c r="L579" t="s">
        <v>19</v>
      </c>
      <c r="M579">
        <v>411.33199999999999</v>
      </c>
      <c r="N579">
        <v>4</v>
      </c>
      <c r="O579">
        <v>0.15</v>
      </c>
      <c r="P579">
        <v>-4.8391999999999999</v>
      </c>
      <c r="Q579" s="1">
        <v>-1.1764705882352899E-2</v>
      </c>
      <c r="R579" t="s">
        <v>401</v>
      </c>
      <c r="S579" t="s">
        <v>408</v>
      </c>
    </row>
    <row r="580" spans="1:19" x14ac:dyDescent="0.3">
      <c r="A580">
        <v>1764</v>
      </c>
      <c r="B580" t="s">
        <v>1480</v>
      </c>
      <c r="C580">
        <v>2016</v>
      </c>
      <c r="D580" t="s">
        <v>420</v>
      </c>
      <c r="E580" t="s">
        <v>35</v>
      </c>
      <c r="F580" t="s">
        <v>289</v>
      </c>
      <c r="G580" t="s">
        <v>74</v>
      </c>
      <c r="H580" t="s">
        <v>9</v>
      </c>
      <c r="I580" t="s">
        <v>1481</v>
      </c>
      <c r="J580" t="s">
        <v>17</v>
      </c>
      <c r="K580" t="s">
        <v>101</v>
      </c>
      <c r="L580" t="s">
        <v>19</v>
      </c>
      <c r="M580">
        <v>35.06</v>
      </c>
      <c r="N580">
        <v>2</v>
      </c>
      <c r="O580">
        <v>0</v>
      </c>
      <c r="P580">
        <v>10.518000000000001</v>
      </c>
      <c r="Q580" s="1">
        <v>0.3</v>
      </c>
      <c r="R580" t="s">
        <v>4</v>
      </c>
      <c r="S580" t="s">
        <v>394</v>
      </c>
    </row>
    <row r="581" spans="1:19" x14ac:dyDescent="0.3">
      <c r="A581">
        <v>1768</v>
      </c>
      <c r="B581" t="s">
        <v>1482</v>
      </c>
      <c r="C581">
        <v>2014</v>
      </c>
      <c r="D581" t="s">
        <v>447</v>
      </c>
      <c r="E581" t="s">
        <v>6</v>
      </c>
      <c r="F581" t="s">
        <v>291</v>
      </c>
      <c r="G581" t="s">
        <v>31</v>
      </c>
      <c r="H581" t="s">
        <v>9</v>
      </c>
      <c r="I581" t="s">
        <v>454</v>
      </c>
      <c r="J581" t="s">
        <v>17</v>
      </c>
      <c r="K581" t="s">
        <v>28</v>
      </c>
      <c r="L581" t="s">
        <v>19</v>
      </c>
      <c r="M581">
        <v>7.6440000000000001</v>
      </c>
      <c r="N581">
        <v>4</v>
      </c>
      <c r="O581">
        <v>0.7</v>
      </c>
      <c r="P581">
        <v>-5.8604000000000003</v>
      </c>
      <c r="Q581" s="1">
        <v>-0.76666666666666705</v>
      </c>
      <c r="R581" t="s">
        <v>401</v>
      </c>
      <c r="S581" t="s">
        <v>402</v>
      </c>
    </row>
    <row r="582" spans="1:19" x14ac:dyDescent="0.3">
      <c r="A582">
        <v>1770</v>
      </c>
      <c r="B582" t="s">
        <v>1483</v>
      </c>
      <c r="C582">
        <v>2017</v>
      </c>
      <c r="D582" t="s">
        <v>447</v>
      </c>
      <c r="E582" t="s">
        <v>13</v>
      </c>
      <c r="F582" t="s">
        <v>126</v>
      </c>
      <c r="G582" t="s">
        <v>37</v>
      </c>
      <c r="H582" t="s">
        <v>38</v>
      </c>
      <c r="I582" t="s">
        <v>1155</v>
      </c>
      <c r="J582" t="s">
        <v>17</v>
      </c>
      <c r="K582" t="s">
        <v>101</v>
      </c>
      <c r="L582" t="s">
        <v>19</v>
      </c>
      <c r="M582">
        <v>6.976</v>
      </c>
      <c r="N582">
        <v>4</v>
      </c>
      <c r="O582">
        <v>0.2</v>
      </c>
      <c r="P582">
        <v>-1.3952</v>
      </c>
      <c r="Q582" s="1">
        <v>-0.2</v>
      </c>
      <c r="R582" t="s">
        <v>401</v>
      </c>
      <c r="S582" t="s">
        <v>408</v>
      </c>
    </row>
    <row r="583" spans="1:19" x14ac:dyDescent="0.3">
      <c r="A583">
        <v>1772</v>
      </c>
      <c r="B583" t="s">
        <v>1484</v>
      </c>
      <c r="C583">
        <v>2016</v>
      </c>
      <c r="D583" t="s">
        <v>392</v>
      </c>
      <c r="E583" t="s">
        <v>13</v>
      </c>
      <c r="F583" t="s">
        <v>70</v>
      </c>
      <c r="G583" t="s">
        <v>56</v>
      </c>
      <c r="H583" t="s">
        <v>38</v>
      </c>
      <c r="I583" t="s">
        <v>1192</v>
      </c>
      <c r="J583" t="s">
        <v>17</v>
      </c>
      <c r="K583" t="s">
        <v>23</v>
      </c>
      <c r="L583" t="s">
        <v>5</v>
      </c>
      <c r="M583">
        <v>97.983999999999995</v>
      </c>
      <c r="N583">
        <v>2</v>
      </c>
      <c r="O583">
        <v>0.2</v>
      </c>
      <c r="P583">
        <v>-24.495999999999999</v>
      </c>
      <c r="Q583" s="1">
        <v>-0.25</v>
      </c>
      <c r="R583" t="s">
        <v>401</v>
      </c>
      <c r="S583" t="s">
        <v>408</v>
      </c>
    </row>
    <row r="584" spans="1:19" x14ac:dyDescent="0.3">
      <c r="A584">
        <v>1774</v>
      </c>
      <c r="B584" t="s">
        <v>1485</v>
      </c>
      <c r="C584">
        <v>2014</v>
      </c>
      <c r="D584" t="s">
        <v>406</v>
      </c>
      <c r="E584" t="s">
        <v>13</v>
      </c>
      <c r="F584" t="s">
        <v>292</v>
      </c>
      <c r="G584" t="s">
        <v>231</v>
      </c>
      <c r="H584" t="s">
        <v>48</v>
      </c>
      <c r="I584" t="s">
        <v>1486</v>
      </c>
      <c r="J584" t="s">
        <v>17</v>
      </c>
      <c r="K584" t="s">
        <v>28</v>
      </c>
      <c r="L584" t="s">
        <v>19</v>
      </c>
      <c r="M584">
        <v>20.86</v>
      </c>
      <c r="N584">
        <v>2</v>
      </c>
      <c r="O584">
        <v>0</v>
      </c>
      <c r="P584">
        <v>9.3870000000000005</v>
      </c>
      <c r="Q584" s="1">
        <v>0.45</v>
      </c>
      <c r="R584" t="s">
        <v>4</v>
      </c>
      <c r="S584" t="s">
        <v>394</v>
      </c>
    </row>
    <row r="585" spans="1:19" x14ac:dyDescent="0.3">
      <c r="A585">
        <v>1780</v>
      </c>
      <c r="B585" t="s">
        <v>1487</v>
      </c>
      <c r="C585">
        <v>2016</v>
      </c>
      <c r="D585" t="s">
        <v>392</v>
      </c>
      <c r="E585" t="s">
        <v>6</v>
      </c>
      <c r="F585" t="s">
        <v>66</v>
      </c>
      <c r="G585" t="s">
        <v>67</v>
      </c>
      <c r="H585" t="s">
        <v>48</v>
      </c>
      <c r="I585" t="s">
        <v>1488</v>
      </c>
      <c r="J585" t="s">
        <v>26</v>
      </c>
      <c r="K585" t="s">
        <v>50</v>
      </c>
      <c r="L585" t="s">
        <v>19</v>
      </c>
      <c r="M585">
        <v>59.97</v>
      </c>
      <c r="N585">
        <v>3</v>
      </c>
      <c r="O585">
        <v>0</v>
      </c>
      <c r="P585">
        <v>14.9925</v>
      </c>
      <c r="Q585" s="1">
        <v>0.25</v>
      </c>
      <c r="R585" t="s">
        <v>4</v>
      </c>
      <c r="S585" t="s">
        <v>394</v>
      </c>
    </row>
    <row r="586" spans="1:19" x14ac:dyDescent="0.3">
      <c r="A586">
        <v>1782</v>
      </c>
      <c r="B586" t="s">
        <v>1489</v>
      </c>
      <c r="C586">
        <v>2015</v>
      </c>
      <c r="D586" t="s">
        <v>425</v>
      </c>
      <c r="E586" t="s">
        <v>13</v>
      </c>
      <c r="F586" t="s">
        <v>106</v>
      </c>
      <c r="G586" t="s">
        <v>156</v>
      </c>
      <c r="H586" t="s">
        <v>48</v>
      </c>
      <c r="I586" t="s">
        <v>1490</v>
      </c>
      <c r="J586" t="s">
        <v>17</v>
      </c>
      <c r="K586" t="s">
        <v>32</v>
      </c>
      <c r="L586" t="s">
        <v>19</v>
      </c>
      <c r="M586">
        <v>6.58</v>
      </c>
      <c r="N586">
        <v>2</v>
      </c>
      <c r="O586">
        <v>0</v>
      </c>
      <c r="P586">
        <v>3.0268000000000002</v>
      </c>
      <c r="Q586" s="1">
        <v>0.46</v>
      </c>
      <c r="R586" t="s">
        <v>4</v>
      </c>
      <c r="S586" t="s">
        <v>394</v>
      </c>
    </row>
    <row r="587" spans="1:19" x14ac:dyDescent="0.3">
      <c r="A587">
        <v>1784</v>
      </c>
      <c r="B587" t="s">
        <v>1491</v>
      </c>
      <c r="C587">
        <v>2017</v>
      </c>
      <c r="D587" t="s">
        <v>428</v>
      </c>
      <c r="E587" t="s">
        <v>13</v>
      </c>
      <c r="F587" t="s">
        <v>225</v>
      </c>
      <c r="G587" t="s">
        <v>40</v>
      </c>
      <c r="H587" t="s">
        <v>38</v>
      </c>
      <c r="I587" t="s">
        <v>1434</v>
      </c>
      <c r="J587" t="s">
        <v>17</v>
      </c>
      <c r="K587" t="s">
        <v>32</v>
      </c>
      <c r="L587" t="s">
        <v>19</v>
      </c>
      <c r="M587">
        <v>219.84</v>
      </c>
      <c r="N587">
        <v>4</v>
      </c>
      <c r="O587">
        <v>0</v>
      </c>
      <c r="P587">
        <v>107.7216</v>
      </c>
      <c r="Q587" s="1">
        <v>0.49</v>
      </c>
      <c r="R587" t="s">
        <v>4</v>
      </c>
      <c r="S587" t="s">
        <v>394</v>
      </c>
    </row>
    <row r="588" spans="1:19" x14ac:dyDescent="0.3">
      <c r="A588">
        <v>1788</v>
      </c>
      <c r="B588" t="s">
        <v>1492</v>
      </c>
      <c r="C588">
        <v>2015</v>
      </c>
      <c r="D588" t="s">
        <v>529</v>
      </c>
      <c r="E588" t="s">
        <v>13</v>
      </c>
      <c r="F588" t="s">
        <v>293</v>
      </c>
      <c r="G588" t="s">
        <v>40</v>
      </c>
      <c r="H588" t="s">
        <v>38</v>
      </c>
      <c r="I588" t="s">
        <v>1493</v>
      </c>
      <c r="J588" t="s">
        <v>26</v>
      </c>
      <c r="K588" t="s">
        <v>27</v>
      </c>
      <c r="L588" t="s">
        <v>19</v>
      </c>
      <c r="M588">
        <v>134.97</v>
      </c>
      <c r="N588">
        <v>3</v>
      </c>
      <c r="O588">
        <v>0</v>
      </c>
      <c r="P588">
        <v>64.785600000000002</v>
      </c>
      <c r="Q588" s="1">
        <v>0.48</v>
      </c>
      <c r="R588" t="s">
        <v>4</v>
      </c>
      <c r="S588" t="s">
        <v>394</v>
      </c>
    </row>
    <row r="589" spans="1:19" x14ac:dyDescent="0.3">
      <c r="A589">
        <v>1791</v>
      </c>
      <c r="B589" t="s">
        <v>1494</v>
      </c>
      <c r="C589">
        <v>2014</v>
      </c>
      <c r="D589" t="s">
        <v>428</v>
      </c>
      <c r="E589" t="s">
        <v>6</v>
      </c>
      <c r="F589" t="s">
        <v>66</v>
      </c>
      <c r="G589" t="s">
        <v>67</v>
      </c>
      <c r="H589" t="s">
        <v>48</v>
      </c>
      <c r="I589" t="s">
        <v>928</v>
      </c>
      <c r="J589" t="s">
        <v>17</v>
      </c>
      <c r="K589" t="s">
        <v>32</v>
      </c>
      <c r="L589" t="s">
        <v>19</v>
      </c>
      <c r="M589">
        <v>48.94</v>
      </c>
      <c r="N589">
        <v>1</v>
      </c>
      <c r="O589">
        <v>0</v>
      </c>
      <c r="P589">
        <v>24.47</v>
      </c>
      <c r="Q589" s="1">
        <v>0.5</v>
      </c>
      <c r="R589" t="s">
        <v>4</v>
      </c>
      <c r="S589" t="s">
        <v>394</v>
      </c>
    </row>
    <row r="590" spans="1:19" x14ac:dyDescent="0.3">
      <c r="A590">
        <v>1792</v>
      </c>
      <c r="B590" t="s">
        <v>1495</v>
      </c>
      <c r="C590">
        <v>2014</v>
      </c>
      <c r="D590" t="s">
        <v>410</v>
      </c>
      <c r="E590" t="s">
        <v>6</v>
      </c>
      <c r="F590" t="s">
        <v>39</v>
      </c>
      <c r="G590" t="s">
        <v>40</v>
      </c>
      <c r="H590" t="s">
        <v>38</v>
      </c>
      <c r="I590" t="s">
        <v>1496</v>
      </c>
      <c r="J590" t="s">
        <v>10</v>
      </c>
      <c r="K590" t="s">
        <v>12</v>
      </c>
      <c r="L590" t="s">
        <v>53</v>
      </c>
      <c r="M590">
        <v>2807.84</v>
      </c>
      <c r="N590">
        <v>8</v>
      </c>
      <c r="O590">
        <v>0</v>
      </c>
      <c r="P590">
        <v>673.88160000000005</v>
      </c>
      <c r="Q590" s="1">
        <v>0.24</v>
      </c>
      <c r="R590" t="s">
        <v>4</v>
      </c>
      <c r="S590" t="s">
        <v>394</v>
      </c>
    </row>
    <row r="591" spans="1:19" x14ac:dyDescent="0.3">
      <c r="A591">
        <v>1794</v>
      </c>
      <c r="B591" t="s">
        <v>1497</v>
      </c>
      <c r="C591">
        <v>2014</v>
      </c>
      <c r="D591" t="s">
        <v>410</v>
      </c>
      <c r="E591" t="s">
        <v>13</v>
      </c>
      <c r="F591" t="s">
        <v>52</v>
      </c>
      <c r="G591" t="s">
        <v>37</v>
      </c>
      <c r="H591" t="s">
        <v>38</v>
      </c>
      <c r="I591" t="s">
        <v>1498</v>
      </c>
      <c r="J591" t="s">
        <v>17</v>
      </c>
      <c r="K591" t="s">
        <v>23</v>
      </c>
      <c r="L591" t="s">
        <v>19</v>
      </c>
      <c r="M591">
        <v>60.415999999999997</v>
      </c>
      <c r="N591">
        <v>2</v>
      </c>
      <c r="O591">
        <v>0.2</v>
      </c>
      <c r="P591">
        <v>6.0415999999999999</v>
      </c>
      <c r="Q591" s="1">
        <v>0.1</v>
      </c>
      <c r="R591" t="s">
        <v>4</v>
      </c>
      <c r="S591" t="s">
        <v>408</v>
      </c>
    </row>
    <row r="592" spans="1:19" x14ac:dyDescent="0.3">
      <c r="A592">
        <v>1800</v>
      </c>
      <c r="B592" t="s">
        <v>1499</v>
      </c>
      <c r="C592">
        <v>2016</v>
      </c>
      <c r="D592" t="s">
        <v>420</v>
      </c>
      <c r="E592" t="s">
        <v>6</v>
      </c>
      <c r="F592" t="s">
        <v>126</v>
      </c>
      <c r="G592" t="s">
        <v>37</v>
      </c>
      <c r="H592" t="s">
        <v>38</v>
      </c>
      <c r="I592" t="s">
        <v>603</v>
      </c>
      <c r="J592" t="s">
        <v>17</v>
      </c>
      <c r="K592" t="s">
        <v>68</v>
      </c>
      <c r="L592" t="s">
        <v>5</v>
      </c>
      <c r="M592">
        <v>11.167999999999999</v>
      </c>
      <c r="N592">
        <v>4</v>
      </c>
      <c r="O592">
        <v>0.2</v>
      </c>
      <c r="P592">
        <v>3.6295999999999999</v>
      </c>
      <c r="Q592" s="1">
        <v>0.32500000000000001</v>
      </c>
      <c r="R592" t="s">
        <v>4</v>
      </c>
      <c r="S592" t="s">
        <v>408</v>
      </c>
    </row>
    <row r="593" spans="1:19" x14ac:dyDescent="0.3">
      <c r="A593">
        <v>1806</v>
      </c>
      <c r="B593" t="s">
        <v>1500</v>
      </c>
      <c r="C593">
        <v>2016</v>
      </c>
      <c r="D593" t="s">
        <v>410</v>
      </c>
      <c r="E593" t="s">
        <v>13</v>
      </c>
      <c r="F593" t="s">
        <v>14</v>
      </c>
      <c r="G593" t="s">
        <v>15</v>
      </c>
      <c r="H593" t="s">
        <v>16</v>
      </c>
      <c r="I593" t="s">
        <v>1501</v>
      </c>
      <c r="J593" t="s">
        <v>26</v>
      </c>
      <c r="K593" t="s">
        <v>27</v>
      </c>
      <c r="L593" t="s">
        <v>53</v>
      </c>
      <c r="M593">
        <v>2575.944</v>
      </c>
      <c r="N593">
        <v>7</v>
      </c>
      <c r="O593">
        <v>0.2</v>
      </c>
      <c r="P593">
        <v>257.59440000000001</v>
      </c>
      <c r="Q593" s="1">
        <v>0.1</v>
      </c>
      <c r="R593" t="s">
        <v>4</v>
      </c>
      <c r="S593" t="s">
        <v>408</v>
      </c>
    </row>
    <row r="594" spans="1:19" x14ac:dyDescent="0.3">
      <c r="A594">
        <v>1809</v>
      </c>
      <c r="B594" t="s">
        <v>1502</v>
      </c>
      <c r="C594">
        <v>2016</v>
      </c>
      <c r="D594" t="s">
        <v>529</v>
      </c>
      <c r="E594" t="s">
        <v>13</v>
      </c>
      <c r="F594" t="s">
        <v>295</v>
      </c>
      <c r="G594" t="s">
        <v>110</v>
      </c>
      <c r="H594" t="s">
        <v>38</v>
      </c>
      <c r="I594" t="s">
        <v>1503</v>
      </c>
      <c r="J594" t="s">
        <v>26</v>
      </c>
      <c r="K594" t="s">
        <v>27</v>
      </c>
      <c r="L594" t="s">
        <v>53</v>
      </c>
      <c r="M594">
        <v>69.930000000000007</v>
      </c>
      <c r="N594">
        <v>7</v>
      </c>
      <c r="O594">
        <v>0</v>
      </c>
      <c r="P594">
        <v>0.69930000000000003</v>
      </c>
      <c r="Q594" s="1">
        <v>0.01</v>
      </c>
      <c r="R594" t="s">
        <v>4</v>
      </c>
      <c r="S594" t="s">
        <v>394</v>
      </c>
    </row>
    <row r="595" spans="1:19" x14ac:dyDescent="0.3">
      <c r="A595">
        <v>1816</v>
      </c>
      <c r="B595" t="s">
        <v>1504</v>
      </c>
      <c r="C595">
        <v>2015</v>
      </c>
      <c r="D595" t="s">
        <v>396</v>
      </c>
      <c r="E595" t="s">
        <v>6</v>
      </c>
      <c r="F595" t="s">
        <v>33</v>
      </c>
      <c r="G595" t="s">
        <v>34</v>
      </c>
      <c r="H595" t="s">
        <v>16</v>
      </c>
      <c r="I595" t="s">
        <v>1505</v>
      </c>
      <c r="J595" t="s">
        <v>17</v>
      </c>
      <c r="K595" t="s">
        <v>18</v>
      </c>
      <c r="L595" t="s">
        <v>158</v>
      </c>
      <c r="M595">
        <v>7.38</v>
      </c>
      <c r="N595">
        <v>2</v>
      </c>
      <c r="O595">
        <v>0</v>
      </c>
      <c r="P595">
        <v>3.4685999999999999</v>
      </c>
      <c r="Q595" s="1">
        <v>0.47</v>
      </c>
      <c r="R595" t="s">
        <v>4</v>
      </c>
      <c r="S595" t="s">
        <v>394</v>
      </c>
    </row>
    <row r="596" spans="1:19" x14ac:dyDescent="0.3">
      <c r="A596">
        <v>1819</v>
      </c>
      <c r="B596" t="s">
        <v>1506</v>
      </c>
      <c r="C596">
        <v>2014</v>
      </c>
      <c r="D596" t="s">
        <v>417</v>
      </c>
      <c r="E596" t="s">
        <v>6</v>
      </c>
      <c r="F596" t="s">
        <v>70</v>
      </c>
      <c r="G596" t="s">
        <v>56</v>
      </c>
      <c r="H596" t="s">
        <v>38</v>
      </c>
      <c r="I596" t="s">
        <v>1507</v>
      </c>
      <c r="J596" t="s">
        <v>17</v>
      </c>
      <c r="K596" t="s">
        <v>29</v>
      </c>
      <c r="L596" t="s">
        <v>19</v>
      </c>
      <c r="M596">
        <v>75.599999999999994</v>
      </c>
      <c r="N596">
        <v>2</v>
      </c>
      <c r="O596">
        <v>0.8</v>
      </c>
      <c r="P596">
        <v>-166.32</v>
      </c>
      <c r="Q596" s="1">
        <v>-2.2000000000000002</v>
      </c>
      <c r="R596" t="s">
        <v>401</v>
      </c>
      <c r="S596" t="s">
        <v>402</v>
      </c>
    </row>
    <row r="597" spans="1:19" x14ac:dyDescent="0.3">
      <c r="A597">
        <v>1821</v>
      </c>
      <c r="B597" t="s">
        <v>1508</v>
      </c>
      <c r="C597">
        <v>2016</v>
      </c>
      <c r="D597" t="s">
        <v>529</v>
      </c>
      <c r="E597" t="s">
        <v>13</v>
      </c>
      <c r="F597" t="s">
        <v>70</v>
      </c>
      <c r="G597" t="s">
        <v>56</v>
      </c>
      <c r="H597" t="s">
        <v>38</v>
      </c>
      <c r="I597" t="s">
        <v>1509</v>
      </c>
      <c r="J597" t="s">
        <v>17</v>
      </c>
      <c r="K597" t="s">
        <v>29</v>
      </c>
      <c r="L597" t="s">
        <v>19</v>
      </c>
      <c r="M597">
        <v>92.063999999999993</v>
      </c>
      <c r="N597">
        <v>6</v>
      </c>
      <c r="O597">
        <v>0.8</v>
      </c>
      <c r="P597">
        <v>-225.55680000000001</v>
      </c>
      <c r="Q597" s="1">
        <v>-2.4500000000000002</v>
      </c>
      <c r="R597" t="s">
        <v>401</v>
      </c>
      <c r="S597" t="s">
        <v>402</v>
      </c>
    </row>
    <row r="598" spans="1:19" x14ac:dyDescent="0.3">
      <c r="A598">
        <v>1825</v>
      </c>
      <c r="B598" t="s">
        <v>1510</v>
      </c>
      <c r="C598">
        <v>2016</v>
      </c>
      <c r="D598" t="s">
        <v>410</v>
      </c>
      <c r="E598" t="s">
        <v>6</v>
      </c>
      <c r="F598" t="s">
        <v>296</v>
      </c>
      <c r="G598" t="s">
        <v>86</v>
      </c>
      <c r="H598" t="s">
        <v>16</v>
      </c>
      <c r="I598" t="s">
        <v>1206</v>
      </c>
      <c r="J598" t="s">
        <v>17</v>
      </c>
      <c r="K598" t="s">
        <v>28</v>
      </c>
      <c r="L598" t="s">
        <v>19</v>
      </c>
      <c r="M598">
        <v>31.32</v>
      </c>
      <c r="N598">
        <v>10</v>
      </c>
      <c r="O598">
        <v>0.7</v>
      </c>
      <c r="P598">
        <v>-25.056000000000001</v>
      </c>
      <c r="Q598" s="1">
        <v>-0.8</v>
      </c>
      <c r="R598" t="s">
        <v>401</v>
      </c>
      <c r="S598" t="s">
        <v>402</v>
      </c>
    </row>
    <row r="599" spans="1:19" x14ac:dyDescent="0.3">
      <c r="A599">
        <v>1828</v>
      </c>
      <c r="B599" t="s">
        <v>1511</v>
      </c>
      <c r="C599">
        <v>2016</v>
      </c>
      <c r="D599" t="s">
        <v>529</v>
      </c>
      <c r="E599" t="s">
        <v>35</v>
      </c>
      <c r="F599" t="s">
        <v>297</v>
      </c>
      <c r="G599" t="s">
        <v>31</v>
      </c>
      <c r="H599" t="s">
        <v>9</v>
      </c>
      <c r="I599" t="s">
        <v>1512</v>
      </c>
      <c r="J599" t="s">
        <v>26</v>
      </c>
      <c r="K599" t="s">
        <v>27</v>
      </c>
      <c r="L599" t="s">
        <v>5</v>
      </c>
      <c r="M599">
        <v>1127.9760000000001</v>
      </c>
      <c r="N599">
        <v>3</v>
      </c>
      <c r="O599">
        <v>0.2</v>
      </c>
      <c r="P599">
        <v>126.8973</v>
      </c>
      <c r="Q599" s="1">
        <v>0.1125</v>
      </c>
      <c r="R599" t="s">
        <v>4</v>
      </c>
      <c r="S599" t="s">
        <v>408</v>
      </c>
    </row>
    <row r="600" spans="1:19" x14ac:dyDescent="0.3">
      <c r="A600">
        <v>1830</v>
      </c>
      <c r="B600" t="s">
        <v>1513</v>
      </c>
      <c r="C600">
        <v>2014</v>
      </c>
      <c r="D600" t="s">
        <v>417</v>
      </c>
      <c r="E600" t="s">
        <v>6</v>
      </c>
      <c r="F600" t="s">
        <v>208</v>
      </c>
      <c r="G600" t="s">
        <v>95</v>
      </c>
      <c r="H600" t="s">
        <v>48</v>
      </c>
      <c r="I600" t="s">
        <v>1514</v>
      </c>
      <c r="J600" t="s">
        <v>26</v>
      </c>
      <c r="K600" t="s">
        <v>27</v>
      </c>
      <c r="L600" t="s">
        <v>19</v>
      </c>
      <c r="M600">
        <v>779.79600000000005</v>
      </c>
      <c r="N600">
        <v>2</v>
      </c>
      <c r="O600">
        <v>0.4</v>
      </c>
      <c r="P600">
        <v>-168.95580000000001</v>
      </c>
      <c r="Q600" s="1">
        <v>-0.21666666666666701</v>
      </c>
      <c r="R600" t="s">
        <v>401</v>
      </c>
      <c r="S600" t="s">
        <v>402</v>
      </c>
    </row>
    <row r="601" spans="1:19" x14ac:dyDescent="0.3">
      <c r="A601">
        <v>1833</v>
      </c>
      <c r="B601" t="s">
        <v>1515</v>
      </c>
      <c r="C601">
        <v>2015</v>
      </c>
      <c r="D601" t="s">
        <v>392</v>
      </c>
      <c r="E601" t="s">
        <v>13</v>
      </c>
      <c r="F601" t="s">
        <v>115</v>
      </c>
      <c r="G601" t="s">
        <v>31</v>
      </c>
      <c r="H601" t="s">
        <v>9</v>
      </c>
      <c r="I601" t="s">
        <v>1516</v>
      </c>
      <c r="J601" t="s">
        <v>10</v>
      </c>
      <c r="K601" t="s">
        <v>12</v>
      </c>
      <c r="L601" t="s">
        <v>19</v>
      </c>
      <c r="M601">
        <v>207</v>
      </c>
      <c r="N601">
        <v>3</v>
      </c>
      <c r="O601">
        <v>0.2</v>
      </c>
      <c r="P601">
        <v>25.875</v>
      </c>
      <c r="Q601" s="1">
        <v>0.125</v>
      </c>
      <c r="R601" t="s">
        <v>4</v>
      </c>
      <c r="S601" t="s">
        <v>408</v>
      </c>
    </row>
    <row r="602" spans="1:19" x14ac:dyDescent="0.3">
      <c r="A602">
        <v>1837</v>
      </c>
      <c r="B602" t="s">
        <v>1517</v>
      </c>
      <c r="C602">
        <v>2017</v>
      </c>
      <c r="D602" t="s">
        <v>529</v>
      </c>
      <c r="E602" t="s">
        <v>13</v>
      </c>
      <c r="F602" t="s">
        <v>248</v>
      </c>
      <c r="G602" t="s">
        <v>157</v>
      </c>
      <c r="H602" t="s">
        <v>9</v>
      </c>
      <c r="I602" t="s">
        <v>1518</v>
      </c>
      <c r="J602" t="s">
        <v>17</v>
      </c>
      <c r="K602" t="s">
        <v>29</v>
      </c>
      <c r="L602" t="s">
        <v>5</v>
      </c>
      <c r="M602">
        <v>1245.8599999999999</v>
      </c>
      <c r="N602">
        <v>7</v>
      </c>
      <c r="O602">
        <v>0</v>
      </c>
      <c r="P602">
        <v>361.29939999999999</v>
      </c>
      <c r="Q602" s="1">
        <v>0.28999999999999998</v>
      </c>
      <c r="R602" t="s">
        <v>4</v>
      </c>
      <c r="S602" t="s">
        <v>394</v>
      </c>
    </row>
    <row r="603" spans="1:19" x14ac:dyDescent="0.3">
      <c r="A603">
        <v>1838</v>
      </c>
      <c r="B603" t="s">
        <v>1519</v>
      </c>
      <c r="C603">
        <v>2014</v>
      </c>
      <c r="D603" t="s">
        <v>420</v>
      </c>
      <c r="E603" t="s">
        <v>13</v>
      </c>
      <c r="F603" t="s">
        <v>90</v>
      </c>
      <c r="G603" t="s">
        <v>31</v>
      </c>
      <c r="H603" t="s">
        <v>9</v>
      </c>
      <c r="I603" t="s">
        <v>397</v>
      </c>
      <c r="J603" t="s">
        <v>17</v>
      </c>
      <c r="K603" t="s">
        <v>18</v>
      </c>
      <c r="L603" t="s">
        <v>19</v>
      </c>
      <c r="M603">
        <v>17.544</v>
      </c>
      <c r="N603">
        <v>3</v>
      </c>
      <c r="O603">
        <v>0.2</v>
      </c>
      <c r="P603">
        <v>5.9211</v>
      </c>
      <c r="Q603" s="1">
        <v>0.33750000000000002</v>
      </c>
      <c r="R603" t="s">
        <v>4</v>
      </c>
      <c r="S603" t="s">
        <v>408</v>
      </c>
    </row>
    <row r="604" spans="1:19" x14ac:dyDescent="0.3">
      <c r="A604">
        <v>1846</v>
      </c>
      <c r="B604" t="s">
        <v>1520</v>
      </c>
      <c r="C604">
        <v>2017</v>
      </c>
      <c r="D604" t="s">
        <v>430</v>
      </c>
      <c r="E604" t="s">
        <v>35</v>
      </c>
      <c r="F604" t="s">
        <v>34</v>
      </c>
      <c r="G604" t="s">
        <v>241</v>
      </c>
      <c r="H604" t="s">
        <v>48</v>
      </c>
      <c r="I604" t="s">
        <v>532</v>
      </c>
      <c r="J604" t="s">
        <v>17</v>
      </c>
      <c r="K604" t="s">
        <v>32</v>
      </c>
      <c r="L604" t="s">
        <v>5</v>
      </c>
      <c r="M604">
        <v>40.08</v>
      </c>
      <c r="N604">
        <v>6</v>
      </c>
      <c r="O604">
        <v>0</v>
      </c>
      <c r="P604">
        <v>19.238399999999999</v>
      </c>
      <c r="Q604" s="1">
        <v>0.48</v>
      </c>
      <c r="R604" t="s">
        <v>4</v>
      </c>
      <c r="S604" t="s">
        <v>394</v>
      </c>
    </row>
    <row r="605" spans="1:19" x14ac:dyDescent="0.3">
      <c r="A605">
        <v>1850</v>
      </c>
      <c r="B605" t="s">
        <v>1521</v>
      </c>
      <c r="C605">
        <v>2015</v>
      </c>
      <c r="D605" t="s">
        <v>425</v>
      </c>
      <c r="E605" t="s">
        <v>6</v>
      </c>
      <c r="F605" t="s">
        <v>299</v>
      </c>
      <c r="G605" t="s">
        <v>65</v>
      </c>
      <c r="H605" t="s">
        <v>38</v>
      </c>
      <c r="I605" t="s">
        <v>1522</v>
      </c>
      <c r="J605" t="s">
        <v>17</v>
      </c>
      <c r="K605" t="s">
        <v>23</v>
      </c>
      <c r="L605" t="s">
        <v>5</v>
      </c>
      <c r="M605">
        <v>34.76</v>
      </c>
      <c r="N605">
        <v>1</v>
      </c>
      <c r="O605">
        <v>0</v>
      </c>
      <c r="P605">
        <v>9.7327999999999992</v>
      </c>
      <c r="Q605" s="1">
        <v>0.28000000000000003</v>
      </c>
      <c r="R605" t="s">
        <v>4</v>
      </c>
      <c r="S605" t="s">
        <v>394</v>
      </c>
    </row>
    <row r="606" spans="1:19" x14ac:dyDescent="0.3">
      <c r="A606">
        <v>1856</v>
      </c>
      <c r="B606" t="s">
        <v>1523</v>
      </c>
      <c r="C606">
        <v>2014</v>
      </c>
      <c r="D606" t="s">
        <v>396</v>
      </c>
      <c r="E606" t="s">
        <v>13</v>
      </c>
      <c r="F606" t="s">
        <v>14</v>
      </c>
      <c r="G606" t="s">
        <v>15</v>
      </c>
      <c r="H606" t="s">
        <v>16</v>
      </c>
      <c r="I606" t="s">
        <v>1524</v>
      </c>
      <c r="J606" t="s">
        <v>17</v>
      </c>
      <c r="K606" t="s">
        <v>25</v>
      </c>
      <c r="L606" t="s">
        <v>19</v>
      </c>
      <c r="M606">
        <v>14.52</v>
      </c>
      <c r="N606">
        <v>3</v>
      </c>
      <c r="O606">
        <v>0</v>
      </c>
      <c r="P606">
        <v>4.7915999999999999</v>
      </c>
      <c r="Q606" s="1">
        <v>0.33</v>
      </c>
      <c r="R606" t="s">
        <v>4</v>
      </c>
      <c r="S606" t="s">
        <v>394</v>
      </c>
    </row>
    <row r="607" spans="1:19" x14ac:dyDescent="0.3">
      <c r="A607">
        <v>1857</v>
      </c>
      <c r="B607" t="s">
        <v>1525</v>
      </c>
      <c r="C607">
        <v>2017</v>
      </c>
      <c r="D607" t="s">
        <v>417</v>
      </c>
      <c r="E607" t="s">
        <v>13</v>
      </c>
      <c r="F607" t="s">
        <v>52</v>
      </c>
      <c r="G607" t="s">
        <v>37</v>
      </c>
      <c r="H607" t="s">
        <v>38</v>
      </c>
      <c r="I607" t="s">
        <v>1236</v>
      </c>
      <c r="J607" t="s">
        <v>17</v>
      </c>
      <c r="K607" t="s">
        <v>23</v>
      </c>
      <c r="L607" t="s">
        <v>5</v>
      </c>
      <c r="M607">
        <v>127.92</v>
      </c>
      <c r="N607">
        <v>5</v>
      </c>
      <c r="O607">
        <v>0.2</v>
      </c>
      <c r="P607">
        <v>-15.99</v>
      </c>
      <c r="Q607" s="1">
        <v>-0.125</v>
      </c>
      <c r="R607" t="s">
        <v>401</v>
      </c>
      <c r="S607" t="s">
        <v>408</v>
      </c>
    </row>
    <row r="608" spans="1:19" x14ac:dyDescent="0.3">
      <c r="A608">
        <v>1861</v>
      </c>
      <c r="B608" t="s">
        <v>1526</v>
      </c>
      <c r="C608">
        <v>2017</v>
      </c>
      <c r="D608" t="s">
        <v>447</v>
      </c>
      <c r="E608" t="s">
        <v>6</v>
      </c>
      <c r="F608" t="s">
        <v>66</v>
      </c>
      <c r="G608" t="s">
        <v>67</v>
      </c>
      <c r="H608" t="s">
        <v>48</v>
      </c>
      <c r="I608" t="s">
        <v>1527</v>
      </c>
      <c r="J608" t="s">
        <v>10</v>
      </c>
      <c r="K608" t="s">
        <v>11</v>
      </c>
      <c r="L608" t="s">
        <v>53</v>
      </c>
      <c r="M608">
        <v>257.56799999999998</v>
      </c>
      <c r="N608">
        <v>2</v>
      </c>
      <c r="O608">
        <v>0.2</v>
      </c>
      <c r="P608">
        <v>-28.976400000000002</v>
      </c>
      <c r="Q608" s="1">
        <v>-0.1125</v>
      </c>
      <c r="R608" t="s">
        <v>401</v>
      </c>
      <c r="S608" t="s">
        <v>408</v>
      </c>
    </row>
    <row r="609" spans="1:19" x14ac:dyDescent="0.3">
      <c r="A609">
        <v>1863</v>
      </c>
      <c r="B609" t="s">
        <v>1528</v>
      </c>
      <c r="C609">
        <v>2014</v>
      </c>
      <c r="D609" t="s">
        <v>392</v>
      </c>
      <c r="E609" t="s">
        <v>6</v>
      </c>
      <c r="F609" t="s">
        <v>113</v>
      </c>
      <c r="G609" t="s">
        <v>37</v>
      </c>
      <c r="H609" t="s">
        <v>38</v>
      </c>
      <c r="I609" t="s">
        <v>578</v>
      </c>
      <c r="J609" t="s">
        <v>17</v>
      </c>
      <c r="K609" t="s">
        <v>23</v>
      </c>
      <c r="L609" t="s">
        <v>158</v>
      </c>
      <c r="M609">
        <v>49.631999999999998</v>
      </c>
      <c r="N609">
        <v>4</v>
      </c>
      <c r="O609">
        <v>0.2</v>
      </c>
      <c r="P609">
        <v>4.9631999999999996</v>
      </c>
      <c r="Q609" s="1">
        <v>0.1</v>
      </c>
      <c r="R609" t="s">
        <v>4</v>
      </c>
      <c r="S609" t="s">
        <v>408</v>
      </c>
    </row>
    <row r="610" spans="1:19" x14ac:dyDescent="0.3">
      <c r="A610">
        <v>1868</v>
      </c>
      <c r="B610" t="s">
        <v>1529</v>
      </c>
      <c r="C610">
        <v>2015</v>
      </c>
      <c r="D610" t="s">
        <v>396</v>
      </c>
      <c r="E610" t="s">
        <v>35</v>
      </c>
      <c r="F610" t="s">
        <v>46</v>
      </c>
      <c r="G610" t="s">
        <v>47</v>
      </c>
      <c r="H610" t="s">
        <v>48</v>
      </c>
      <c r="I610" t="s">
        <v>1530</v>
      </c>
      <c r="J610" t="s">
        <v>17</v>
      </c>
      <c r="K610" t="s">
        <v>32</v>
      </c>
      <c r="L610" t="s">
        <v>19</v>
      </c>
      <c r="M610">
        <v>31.103999999999999</v>
      </c>
      <c r="N610">
        <v>6</v>
      </c>
      <c r="O610">
        <v>0.2</v>
      </c>
      <c r="P610">
        <v>10.8864</v>
      </c>
      <c r="Q610" s="1">
        <v>0.35</v>
      </c>
      <c r="R610" t="s">
        <v>4</v>
      </c>
      <c r="S610" t="s">
        <v>408</v>
      </c>
    </row>
    <row r="611" spans="1:19" x14ac:dyDescent="0.3">
      <c r="A611">
        <v>1871</v>
      </c>
      <c r="B611" t="s">
        <v>1531</v>
      </c>
      <c r="C611">
        <v>2014</v>
      </c>
      <c r="D611" t="s">
        <v>425</v>
      </c>
      <c r="E611" t="s">
        <v>13</v>
      </c>
      <c r="F611" t="s">
        <v>43</v>
      </c>
      <c r="G611" t="s">
        <v>15</v>
      </c>
      <c r="H611" t="s">
        <v>16</v>
      </c>
      <c r="I611" t="s">
        <v>1532</v>
      </c>
      <c r="J611" t="s">
        <v>17</v>
      </c>
      <c r="K611" t="s">
        <v>25</v>
      </c>
      <c r="L611" t="s">
        <v>19</v>
      </c>
      <c r="M611">
        <v>99.2</v>
      </c>
      <c r="N611">
        <v>5</v>
      </c>
      <c r="O611">
        <v>0</v>
      </c>
      <c r="P611">
        <v>25.792000000000002</v>
      </c>
      <c r="Q611" s="1">
        <v>0.26</v>
      </c>
      <c r="R611" t="s">
        <v>4</v>
      </c>
      <c r="S611" t="s">
        <v>394</v>
      </c>
    </row>
    <row r="612" spans="1:19" x14ac:dyDescent="0.3">
      <c r="A612">
        <v>1874</v>
      </c>
      <c r="B612" t="s">
        <v>1533</v>
      </c>
      <c r="C612">
        <v>2017</v>
      </c>
      <c r="D612" t="s">
        <v>392</v>
      </c>
      <c r="E612" t="s">
        <v>6</v>
      </c>
      <c r="F612" t="s">
        <v>300</v>
      </c>
      <c r="G612" t="s">
        <v>34</v>
      </c>
      <c r="H612" t="s">
        <v>16</v>
      </c>
      <c r="I612" t="s">
        <v>1534</v>
      </c>
      <c r="J612" t="s">
        <v>10</v>
      </c>
      <c r="K612" t="s">
        <v>22</v>
      </c>
      <c r="L612" t="s">
        <v>19</v>
      </c>
      <c r="M612">
        <v>70.98</v>
      </c>
      <c r="N612">
        <v>1</v>
      </c>
      <c r="O612">
        <v>0</v>
      </c>
      <c r="P612">
        <v>20.584199999999999</v>
      </c>
      <c r="Q612" s="1">
        <v>0.28999999999999998</v>
      </c>
      <c r="R612" t="s">
        <v>4</v>
      </c>
      <c r="S612" t="s">
        <v>394</v>
      </c>
    </row>
    <row r="613" spans="1:19" x14ac:dyDescent="0.3">
      <c r="A613">
        <v>1875</v>
      </c>
      <c r="B613" t="s">
        <v>1535</v>
      </c>
      <c r="C613">
        <v>2014</v>
      </c>
      <c r="D613" t="s">
        <v>396</v>
      </c>
      <c r="E613" t="s">
        <v>35</v>
      </c>
      <c r="F613" t="s">
        <v>94</v>
      </c>
      <c r="G613" t="s">
        <v>95</v>
      </c>
      <c r="H613" t="s">
        <v>48</v>
      </c>
      <c r="I613" t="s">
        <v>1332</v>
      </c>
      <c r="J613" t="s">
        <v>17</v>
      </c>
      <c r="K613" t="s">
        <v>32</v>
      </c>
      <c r="L613" t="s">
        <v>19</v>
      </c>
      <c r="M613">
        <v>16.224</v>
      </c>
      <c r="N613">
        <v>2</v>
      </c>
      <c r="O613">
        <v>0.2</v>
      </c>
      <c r="P613">
        <v>5.8811999999999998</v>
      </c>
      <c r="Q613" s="1">
        <v>0.36249999999999999</v>
      </c>
      <c r="R613" t="s">
        <v>4</v>
      </c>
      <c r="S613" t="s">
        <v>408</v>
      </c>
    </row>
    <row r="614" spans="1:19" x14ac:dyDescent="0.3">
      <c r="A614">
        <v>1876</v>
      </c>
      <c r="B614" t="s">
        <v>1536</v>
      </c>
      <c r="C614">
        <v>2016</v>
      </c>
      <c r="D614" t="s">
        <v>447</v>
      </c>
      <c r="E614" t="s">
        <v>6</v>
      </c>
      <c r="F614" t="s">
        <v>149</v>
      </c>
      <c r="G614" t="s">
        <v>67</v>
      </c>
      <c r="H614" t="s">
        <v>48</v>
      </c>
      <c r="I614" t="s">
        <v>1537</v>
      </c>
      <c r="J614" t="s">
        <v>10</v>
      </c>
      <c r="K614" t="s">
        <v>11</v>
      </c>
      <c r="L614" t="s">
        <v>19</v>
      </c>
      <c r="M614">
        <v>176.78399999999999</v>
      </c>
      <c r="N614">
        <v>1</v>
      </c>
      <c r="O614">
        <v>0.2</v>
      </c>
      <c r="P614">
        <v>-22.097999999999999</v>
      </c>
      <c r="Q614" s="1">
        <v>-0.125</v>
      </c>
      <c r="R614" t="s">
        <v>401</v>
      </c>
      <c r="S614" t="s">
        <v>408</v>
      </c>
    </row>
    <row r="615" spans="1:19" x14ac:dyDescent="0.3">
      <c r="A615">
        <v>1877</v>
      </c>
      <c r="B615" t="s">
        <v>1538</v>
      </c>
      <c r="C615">
        <v>2017</v>
      </c>
      <c r="D615" t="s">
        <v>447</v>
      </c>
      <c r="E615" t="s">
        <v>6</v>
      </c>
      <c r="F615" t="s">
        <v>113</v>
      </c>
      <c r="G615" t="s">
        <v>37</v>
      </c>
      <c r="H615" t="s">
        <v>38</v>
      </c>
      <c r="I615" t="s">
        <v>816</v>
      </c>
      <c r="J615" t="s">
        <v>26</v>
      </c>
      <c r="K615" t="s">
        <v>27</v>
      </c>
      <c r="L615" t="s">
        <v>19</v>
      </c>
      <c r="M615">
        <v>470.37599999999998</v>
      </c>
      <c r="N615">
        <v>3</v>
      </c>
      <c r="O615">
        <v>0.2</v>
      </c>
      <c r="P615">
        <v>47.037599999999998</v>
      </c>
      <c r="Q615" s="1">
        <v>0.1</v>
      </c>
      <c r="R615" t="s">
        <v>4</v>
      </c>
      <c r="S615" t="s">
        <v>408</v>
      </c>
    </row>
    <row r="616" spans="1:19" x14ac:dyDescent="0.3">
      <c r="A616">
        <v>1878</v>
      </c>
      <c r="B616" t="s">
        <v>1539</v>
      </c>
      <c r="C616">
        <v>2017</v>
      </c>
      <c r="D616" t="s">
        <v>410</v>
      </c>
      <c r="E616" t="s">
        <v>6</v>
      </c>
      <c r="F616" t="s">
        <v>14</v>
      </c>
      <c r="G616" t="s">
        <v>15</v>
      </c>
      <c r="H616" t="s">
        <v>16</v>
      </c>
      <c r="I616" t="s">
        <v>1279</v>
      </c>
      <c r="J616" t="s">
        <v>10</v>
      </c>
      <c r="K616" t="s">
        <v>12</v>
      </c>
      <c r="L616" t="s">
        <v>19</v>
      </c>
      <c r="M616">
        <v>393.56799999999998</v>
      </c>
      <c r="N616">
        <v>4</v>
      </c>
      <c r="O616">
        <v>0.2</v>
      </c>
      <c r="P616">
        <v>-44.276400000000002</v>
      </c>
      <c r="Q616" s="1">
        <v>-0.1125</v>
      </c>
      <c r="R616" t="s">
        <v>401</v>
      </c>
      <c r="S616" t="s">
        <v>408</v>
      </c>
    </row>
    <row r="617" spans="1:19" x14ac:dyDescent="0.3">
      <c r="A617">
        <v>1880</v>
      </c>
      <c r="B617" t="s">
        <v>1540</v>
      </c>
      <c r="C617">
        <v>2017</v>
      </c>
      <c r="D617" t="s">
        <v>447</v>
      </c>
      <c r="E617" t="s">
        <v>13</v>
      </c>
      <c r="F617" t="s">
        <v>179</v>
      </c>
      <c r="G617" t="s">
        <v>21</v>
      </c>
      <c r="H617" t="s">
        <v>9</v>
      </c>
      <c r="I617" t="s">
        <v>1541</v>
      </c>
      <c r="J617" t="s">
        <v>17</v>
      </c>
      <c r="K617" t="s">
        <v>28</v>
      </c>
      <c r="L617" t="s">
        <v>19</v>
      </c>
      <c r="M617">
        <v>68.742000000000004</v>
      </c>
      <c r="N617">
        <v>9</v>
      </c>
      <c r="O617">
        <v>0.7</v>
      </c>
      <c r="P617">
        <v>-48.119399999999999</v>
      </c>
      <c r="Q617" s="1">
        <v>-0.7</v>
      </c>
      <c r="R617" t="s">
        <v>401</v>
      </c>
      <c r="S617" t="s">
        <v>402</v>
      </c>
    </row>
    <row r="618" spans="1:19" x14ac:dyDescent="0.3">
      <c r="A618">
        <v>1881</v>
      </c>
      <c r="B618" t="s">
        <v>1542</v>
      </c>
      <c r="C618">
        <v>2015</v>
      </c>
      <c r="D618" t="s">
        <v>447</v>
      </c>
      <c r="E618" t="s">
        <v>6</v>
      </c>
      <c r="F618" t="s">
        <v>66</v>
      </c>
      <c r="G618" t="s">
        <v>67</v>
      </c>
      <c r="H618" t="s">
        <v>48</v>
      </c>
      <c r="I618" t="s">
        <v>1543</v>
      </c>
      <c r="J618" t="s">
        <v>17</v>
      </c>
      <c r="K618" t="s">
        <v>51</v>
      </c>
      <c r="L618" t="s">
        <v>158</v>
      </c>
      <c r="M618">
        <v>29.34</v>
      </c>
      <c r="N618">
        <v>3</v>
      </c>
      <c r="O618">
        <v>0</v>
      </c>
      <c r="P618">
        <v>14.67</v>
      </c>
      <c r="Q618" s="1">
        <v>0.5</v>
      </c>
      <c r="R618" t="s">
        <v>4</v>
      </c>
      <c r="S618" t="s">
        <v>394</v>
      </c>
    </row>
    <row r="619" spans="1:19" x14ac:dyDescent="0.3">
      <c r="A619">
        <v>1885</v>
      </c>
      <c r="B619" t="s">
        <v>1544</v>
      </c>
      <c r="C619">
        <v>2017</v>
      </c>
      <c r="D619" t="s">
        <v>430</v>
      </c>
      <c r="E619" t="s">
        <v>6</v>
      </c>
      <c r="F619" t="s">
        <v>301</v>
      </c>
      <c r="G619" t="s">
        <v>37</v>
      </c>
      <c r="H619" t="s">
        <v>38</v>
      </c>
      <c r="I619" t="s">
        <v>1545</v>
      </c>
      <c r="J619" t="s">
        <v>17</v>
      </c>
      <c r="K619" t="s">
        <v>18</v>
      </c>
      <c r="L619" t="s">
        <v>5</v>
      </c>
      <c r="M619">
        <v>6</v>
      </c>
      <c r="N619">
        <v>2</v>
      </c>
      <c r="O619">
        <v>0.2</v>
      </c>
      <c r="P619">
        <v>2.1</v>
      </c>
      <c r="Q619" s="1">
        <v>0.35</v>
      </c>
      <c r="R619" t="s">
        <v>4</v>
      </c>
      <c r="S619" t="s">
        <v>408</v>
      </c>
    </row>
    <row r="620" spans="1:19" x14ac:dyDescent="0.3">
      <c r="A620">
        <v>1889</v>
      </c>
      <c r="B620" t="s">
        <v>1546</v>
      </c>
      <c r="C620">
        <v>2014</v>
      </c>
      <c r="D620" t="s">
        <v>399</v>
      </c>
      <c r="E620" t="s">
        <v>6</v>
      </c>
      <c r="F620" t="s">
        <v>117</v>
      </c>
      <c r="G620" t="s">
        <v>95</v>
      </c>
      <c r="H620" t="s">
        <v>48</v>
      </c>
      <c r="I620" t="s">
        <v>859</v>
      </c>
      <c r="J620" t="s">
        <v>17</v>
      </c>
      <c r="K620" t="s">
        <v>29</v>
      </c>
      <c r="L620" t="s">
        <v>53</v>
      </c>
      <c r="M620">
        <v>121.792</v>
      </c>
      <c r="N620">
        <v>4</v>
      </c>
      <c r="O620">
        <v>0.2</v>
      </c>
      <c r="P620">
        <v>13.701599999999999</v>
      </c>
      <c r="Q620" s="1">
        <v>0.1125</v>
      </c>
      <c r="R620" t="s">
        <v>4</v>
      </c>
      <c r="S620" t="s">
        <v>408</v>
      </c>
    </row>
    <row r="621" spans="1:19" x14ac:dyDescent="0.3">
      <c r="A621">
        <v>1891</v>
      </c>
      <c r="B621" t="s">
        <v>1547</v>
      </c>
      <c r="C621">
        <v>2014</v>
      </c>
      <c r="D621" t="s">
        <v>447</v>
      </c>
      <c r="E621" t="s">
        <v>13</v>
      </c>
      <c r="F621" t="s">
        <v>171</v>
      </c>
      <c r="G621" t="s">
        <v>15</v>
      </c>
      <c r="H621" t="s">
        <v>16</v>
      </c>
      <c r="I621" t="s">
        <v>1548</v>
      </c>
      <c r="J621" t="s">
        <v>17</v>
      </c>
      <c r="K621" t="s">
        <v>32</v>
      </c>
      <c r="L621" t="s">
        <v>19</v>
      </c>
      <c r="M621">
        <v>10.56</v>
      </c>
      <c r="N621">
        <v>2</v>
      </c>
      <c r="O621">
        <v>0</v>
      </c>
      <c r="P621">
        <v>4.7519999999999998</v>
      </c>
      <c r="Q621" s="1">
        <v>0.45</v>
      </c>
      <c r="R621" t="s">
        <v>4</v>
      </c>
      <c r="S621" t="s">
        <v>394</v>
      </c>
    </row>
    <row r="622" spans="1:19" x14ac:dyDescent="0.3">
      <c r="A622">
        <v>1896</v>
      </c>
      <c r="B622" t="s">
        <v>1549</v>
      </c>
      <c r="C622">
        <v>2015</v>
      </c>
      <c r="D622" t="s">
        <v>410</v>
      </c>
      <c r="E622" t="s">
        <v>6</v>
      </c>
      <c r="F622" t="s">
        <v>303</v>
      </c>
      <c r="G622" t="s">
        <v>192</v>
      </c>
      <c r="H622" t="s">
        <v>16</v>
      </c>
      <c r="I622" t="s">
        <v>1550</v>
      </c>
      <c r="J622" t="s">
        <v>17</v>
      </c>
      <c r="K622" t="s">
        <v>28</v>
      </c>
      <c r="L622" t="s">
        <v>19</v>
      </c>
      <c r="M622">
        <v>487.98399999999998</v>
      </c>
      <c r="N622">
        <v>2</v>
      </c>
      <c r="O622">
        <v>0.2</v>
      </c>
      <c r="P622">
        <v>152.495</v>
      </c>
      <c r="Q622" s="1">
        <v>0.3125</v>
      </c>
      <c r="R622" t="s">
        <v>4</v>
      </c>
      <c r="S622" t="s">
        <v>408</v>
      </c>
    </row>
    <row r="623" spans="1:19" x14ac:dyDescent="0.3">
      <c r="A623">
        <v>1897</v>
      </c>
      <c r="B623" t="s">
        <v>1551</v>
      </c>
      <c r="C623">
        <v>2017</v>
      </c>
      <c r="D623" t="s">
        <v>399</v>
      </c>
      <c r="E623" t="s">
        <v>6</v>
      </c>
      <c r="F623" t="s">
        <v>84</v>
      </c>
      <c r="G623" t="s">
        <v>59</v>
      </c>
      <c r="H623" t="s">
        <v>38</v>
      </c>
      <c r="I623" t="s">
        <v>1552</v>
      </c>
      <c r="J623" t="s">
        <v>17</v>
      </c>
      <c r="K623" t="s">
        <v>28</v>
      </c>
      <c r="L623" t="s">
        <v>53</v>
      </c>
      <c r="M623">
        <v>1793.98</v>
      </c>
      <c r="N623">
        <v>2</v>
      </c>
      <c r="O623">
        <v>0</v>
      </c>
      <c r="P623">
        <v>843.17060000000004</v>
      </c>
      <c r="Q623" s="1">
        <v>0.47</v>
      </c>
      <c r="R623" t="s">
        <v>4</v>
      </c>
      <c r="S623" t="s">
        <v>394</v>
      </c>
    </row>
    <row r="624" spans="1:19" x14ac:dyDescent="0.3">
      <c r="A624">
        <v>1901</v>
      </c>
      <c r="B624" t="s">
        <v>1553</v>
      </c>
      <c r="C624">
        <v>2016</v>
      </c>
      <c r="D624" t="s">
        <v>396</v>
      </c>
      <c r="E624" t="s">
        <v>6</v>
      </c>
      <c r="F624" t="s">
        <v>226</v>
      </c>
      <c r="G624" t="s">
        <v>82</v>
      </c>
      <c r="H624" t="s">
        <v>9</v>
      </c>
      <c r="I624" t="s">
        <v>1236</v>
      </c>
      <c r="J624" t="s">
        <v>17</v>
      </c>
      <c r="K624" t="s">
        <v>23</v>
      </c>
      <c r="L624" t="s">
        <v>5</v>
      </c>
      <c r="M624">
        <v>191.88</v>
      </c>
      <c r="N624">
        <v>6</v>
      </c>
      <c r="O624">
        <v>0</v>
      </c>
      <c r="P624">
        <v>19.187999999999999</v>
      </c>
      <c r="Q624" s="1">
        <v>0.1</v>
      </c>
      <c r="R624" t="s">
        <v>4</v>
      </c>
      <c r="S624" t="s">
        <v>394</v>
      </c>
    </row>
    <row r="625" spans="1:19" x14ac:dyDescent="0.3">
      <c r="A625">
        <v>1902</v>
      </c>
      <c r="B625" t="s">
        <v>1554</v>
      </c>
      <c r="C625">
        <v>2016</v>
      </c>
      <c r="D625" t="s">
        <v>420</v>
      </c>
      <c r="E625" t="s">
        <v>35</v>
      </c>
      <c r="F625" t="s">
        <v>130</v>
      </c>
      <c r="G625" t="s">
        <v>61</v>
      </c>
      <c r="H625" t="s">
        <v>38</v>
      </c>
      <c r="I625" t="s">
        <v>1555</v>
      </c>
      <c r="J625" t="s">
        <v>26</v>
      </c>
      <c r="K625" t="s">
        <v>27</v>
      </c>
      <c r="L625" t="s">
        <v>53</v>
      </c>
      <c r="M625">
        <v>14.78</v>
      </c>
      <c r="N625">
        <v>2</v>
      </c>
      <c r="O625">
        <v>0</v>
      </c>
      <c r="P625">
        <v>3.9906000000000001</v>
      </c>
      <c r="Q625" s="1">
        <v>0.27</v>
      </c>
      <c r="R625" t="s">
        <v>4</v>
      </c>
      <c r="S625" t="s">
        <v>394</v>
      </c>
    </row>
    <row r="626" spans="1:19" x14ac:dyDescent="0.3">
      <c r="A626">
        <v>1907</v>
      </c>
      <c r="B626" t="s">
        <v>1556</v>
      </c>
      <c r="C626">
        <v>2016</v>
      </c>
      <c r="D626" t="s">
        <v>417</v>
      </c>
      <c r="E626" t="s">
        <v>13</v>
      </c>
      <c r="F626" t="s">
        <v>304</v>
      </c>
      <c r="G626" t="s">
        <v>21</v>
      </c>
      <c r="H626" t="s">
        <v>9</v>
      </c>
      <c r="I626" t="s">
        <v>1557</v>
      </c>
      <c r="J626" t="s">
        <v>17</v>
      </c>
      <c r="K626" t="s">
        <v>28</v>
      </c>
      <c r="L626" t="s">
        <v>19</v>
      </c>
      <c r="M626">
        <v>2.952</v>
      </c>
      <c r="N626">
        <v>2</v>
      </c>
      <c r="O626">
        <v>0.7</v>
      </c>
      <c r="P626">
        <v>-2.1648000000000001</v>
      </c>
      <c r="Q626" s="1">
        <v>-0.73333333333333395</v>
      </c>
      <c r="R626" t="s">
        <v>401</v>
      </c>
      <c r="S626" t="s">
        <v>402</v>
      </c>
    </row>
    <row r="627" spans="1:19" x14ac:dyDescent="0.3">
      <c r="A627">
        <v>1911</v>
      </c>
      <c r="B627" t="s">
        <v>1558</v>
      </c>
      <c r="C627">
        <v>2016</v>
      </c>
      <c r="D627" t="s">
        <v>392</v>
      </c>
      <c r="E627" t="s">
        <v>13</v>
      </c>
      <c r="F627" t="s">
        <v>14</v>
      </c>
      <c r="G627" t="s">
        <v>15</v>
      </c>
      <c r="H627" t="s">
        <v>16</v>
      </c>
      <c r="I627" t="s">
        <v>1559</v>
      </c>
      <c r="J627" t="s">
        <v>26</v>
      </c>
      <c r="K627" t="s">
        <v>50</v>
      </c>
      <c r="L627" t="s">
        <v>19</v>
      </c>
      <c r="M627">
        <v>99.39</v>
      </c>
      <c r="N627">
        <v>3</v>
      </c>
      <c r="O627">
        <v>0</v>
      </c>
      <c r="P627">
        <v>40.749899999999997</v>
      </c>
      <c r="Q627" s="1">
        <v>0.41</v>
      </c>
      <c r="R627" t="s">
        <v>4</v>
      </c>
      <c r="S627" t="s">
        <v>394</v>
      </c>
    </row>
    <row r="628" spans="1:19" x14ac:dyDescent="0.3">
      <c r="A628">
        <v>1914</v>
      </c>
      <c r="B628" t="s">
        <v>1560</v>
      </c>
      <c r="C628">
        <v>2014</v>
      </c>
      <c r="D628" t="s">
        <v>430</v>
      </c>
      <c r="E628" t="s">
        <v>6</v>
      </c>
      <c r="F628" t="s">
        <v>248</v>
      </c>
      <c r="G628" t="s">
        <v>157</v>
      </c>
      <c r="H628" t="s">
        <v>9</v>
      </c>
      <c r="I628" t="s">
        <v>636</v>
      </c>
      <c r="J628" t="s">
        <v>26</v>
      </c>
      <c r="K628" t="s">
        <v>50</v>
      </c>
      <c r="L628" t="s">
        <v>53</v>
      </c>
      <c r="M628">
        <v>149.94999999999999</v>
      </c>
      <c r="N628">
        <v>5</v>
      </c>
      <c r="O628">
        <v>0</v>
      </c>
      <c r="P628">
        <v>65.977999999999994</v>
      </c>
      <c r="Q628" s="1">
        <v>0.44</v>
      </c>
      <c r="R628" t="s">
        <v>4</v>
      </c>
      <c r="S628" t="s">
        <v>394</v>
      </c>
    </row>
    <row r="629" spans="1:19" x14ac:dyDescent="0.3">
      <c r="A629">
        <v>1918</v>
      </c>
      <c r="B629" t="s">
        <v>1561</v>
      </c>
      <c r="C629">
        <v>2015</v>
      </c>
      <c r="D629" t="s">
        <v>392</v>
      </c>
      <c r="E629" t="s">
        <v>6</v>
      </c>
      <c r="F629" t="s">
        <v>106</v>
      </c>
      <c r="G629" t="s">
        <v>156</v>
      </c>
      <c r="H629" t="s">
        <v>48</v>
      </c>
      <c r="I629" t="s">
        <v>735</v>
      </c>
      <c r="J629" t="s">
        <v>17</v>
      </c>
      <c r="K629" t="s">
        <v>25</v>
      </c>
      <c r="L629" t="s">
        <v>19</v>
      </c>
      <c r="M629">
        <v>11.65</v>
      </c>
      <c r="N629">
        <v>5</v>
      </c>
      <c r="O629">
        <v>0</v>
      </c>
      <c r="P629">
        <v>3.3784999999999998</v>
      </c>
      <c r="Q629" s="1">
        <v>0.28999999999999998</v>
      </c>
      <c r="R629" t="s">
        <v>4</v>
      </c>
      <c r="S629" t="s">
        <v>394</v>
      </c>
    </row>
    <row r="630" spans="1:19" x14ac:dyDescent="0.3">
      <c r="A630">
        <v>1919</v>
      </c>
      <c r="B630" t="s">
        <v>1562</v>
      </c>
      <c r="C630">
        <v>2015</v>
      </c>
      <c r="D630" t="s">
        <v>399</v>
      </c>
      <c r="E630" t="s">
        <v>35</v>
      </c>
      <c r="F630" t="s">
        <v>130</v>
      </c>
      <c r="G630" t="s">
        <v>61</v>
      </c>
      <c r="H630" t="s">
        <v>38</v>
      </c>
      <c r="I630" t="s">
        <v>1563</v>
      </c>
      <c r="J630" t="s">
        <v>26</v>
      </c>
      <c r="K630" t="s">
        <v>27</v>
      </c>
      <c r="L630" t="s">
        <v>5</v>
      </c>
      <c r="M630">
        <v>299.89999999999998</v>
      </c>
      <c r="N630">
        <v>2</v>
      </c>
      <c r="O630">
        <v>0</v>
      </c>
      <c r="P630">
        <v>74.974999999999994</v>
      </c>
      <c r="Q630" s="1">
        <v>0.25</v>
      </c>
      <c r="R630" t="s">
        <v>4</v>
      </c>
      <c r="S630" t="s">
        <v>394</v>
      </c>
    </row>
    <row r="631" spans="1:19" x14ac:dyDescent="0.3">
      <c r="A631">
        <v>1920</v>
      </c>
      <c r="B631" t="s">
        <v>1564</v>
      </c>
      <c r="C631">
        <v>2017</v>
      </c>
      <c r="D631" t="s">
        <v>420</v>
      </c>
      <c r="E631" t="s">
        <v>13</v>
      </c>
      <c r="F631" t="s">
        <v>280</v>
      </c>
      <c r="G631" t="s">
        <v>67</v>
      </c>
      <c r="H631" t="s">
        <v>48</v>
      </c>
      <c r="I631" t="s">
        <v>1565</v>
      </c>
      <c r="J631" t="s">
        <v>17</v>
      </c>
      <c r="K631" t="s">
        <v>28</v>
      </c>
      <c r="L631" t="s">
        <v>53</v>
      </c>
      <c r="M631">
        <v>895.92</v>
      </c>
      <c r="N631">
        <v>5</v>
      </c>
      <c r="O631">
        <v>0.2</v>
      </c>
      <c r="P631">
        <v>302.37299999999999</v>
      </c>
      <c r="Q631" s="1">
        <v>0.33750000000000002</v>
      </c>
      <c r="R631" t="s">
        <v>4</v>
      </c>
      <c r="S631" t="s">
        <v>408</v>
      </c>
    </row>
    <row r="632" spans="1:19" x14ac:dyDescent="0.3">
      <c r="A632">
        <v>1923</v>
      </c>
      <c r="B632" t="s">
        <v>1566</v>
      </c>
      <c r="C632">
        <v>2016</v>
      </c>
      <c r="D632" t="s">
        <v>425</v>
      </c>
      <c r="E632" t="s">
        <v>13</v>
      </c>
      <c r="F632" t="s">
        <v>145</v>
      </c>
      <c r="G632" t="s">
        <v>37</v>
      </c>
      <c r="H632" t="s">
        <v>38</v>
      </c>
      <c r="I632" t="s">
        <v>1567</v>
      </c>
      <c r="J632" t="s">
        <v>26</v>
      </c>
      <c r="K632" t="s">
        <v>27</v>
      </c>
      <c r="L632" t="s">
        <v>5</v>
      </c>
      <c r="M632">
        <v>863.64</v>
      </c>
      <c r="N632">
        <v>9</v>
      </c>
      <c r="O632">
        <v>0.2</v>
      </c>
      <c r="P632">
        <v>107.955</v>
      </c>
      <c r="Q632" s="1">
        <v>0.125</v>
      </c>
      <c r="R632" t="s">
        <v>4</v>
      </c>
      <c r="S632" t="s">
        <v>408</v>
      </c>
    </row>
    <row r="633" spans="1:19" x14ac:dyDescent="0.3">
      <c r="A633">
        <v>1926</v>
      </c>
      <c r="B633" t="s">
        <v>1568</v>
      </c>
      <c r="C633">
        <v>2017</v>
      </c>
      <c r="D633" t="s">
        <v>447</v>
      </c>
      <c r="E633" t="s">
        <v>13</v>
      </c>
      <c r="F633" t="s">
        <v>43</v>
      </c>
      <c r="G633" t="s">
        <v>15</v>
      </c>
      <c r="H633" t="s">
        <v>16</v>
      </c>
      <c r="I633" t="s">
        <v>1569</v>
      </c>
      <c r="J633" t="s">
        <v>26</v>
      </c>
      <c r="K633" t="s">
        <v>50</v>
      </c>
      <c r="L633" t="s">
        <v>19</v>
      </c>
      <c r="M633">
        <v>199.98</v>
      </c>
      <c r="N633">
        <v>2</v>
      </c>
      <c r="O633">
        <v>0</v>
      </c>
      <c r="P633">
        <v>69.992999999999995</v>
      </c>
      <c r="Q633" s="1">
        <v>0.35</v>
      </c>
      <c r="R633" t="s">
        <v>4</v>
      </c>
      <c r="S633" t="s">
        <v>394</v>
      </c>
    </row>
    <row r="634" spans="1:19" x14ac:dyDescent="0.3">
      <c r="A634">
        <v>1927</v>
      </c>
      <c r="B634" t="s">
        <v>1570</v>
      </c>
      <c r="C634">
        <v>2016</v>
      </c>
      <c r="D634" t="s">
        <v>396</v>
      </c>
      <c r="E634" t="s">
        <v>6</v>
      </c>
      <c r="F634" t="s">
        <v>14</v>
      </c>
      <c r="G634" t="s">
        <v>15</v>
      </c>
      <c r="H634" t="s">
        <v>16</v>
      </c>
      <c r="I634" t="s">
        <v>1571</v>
      </c>
      <c r="J634" t="s">
        <v>26</v>
      </c>
      <c r="K634" t="s">
        <v>27</v>
      </c>
      <c r="L634" t="s">
        <v>19</v>
      </c>
      <c r="M634">
        <v>177.48</v>
      </c>
      <c r="N634">
        <v>3</v>
      </c>
      <c r="O634">
        <v>0.2</v>
      </c>
      <c r="P634">
        <v>19.9665</v>
      </c>
      <c r="Q634" s="1">
        <v>0.1125</v>
      </c>
      <c r="R634" t="s">
        <v>4</v>
      </c>
      <c r="S634" t="s">
        <v>408</v>
      </c>
    </row>
    <row r="635" spans="1:19" x14ac:dyDescent="0.3">
      <c r="A635">
        <v>1929</v>
      </c>
      <c r="B635" t="s">
        <v>1572</v>
      </c>
      <c r="C635">
        <v>2017</v>
      </c>
      <c r="D635" t="s">
        <v>447</v>
      </c>
      <c r="E635" t="s">
        <v>35</v>
      </c>
      <c r="F635" t="s">
        <v>33</v>
      </c>
      <c r="G635" t="s">
        <v>34</v>
      </c>
      <c r="H635" t="s">
        <v>16</v>
      </c>
      <c r="I635" t="s">
        <v>1573</v>
      </c>
      <c r="J635" t="s">
        <v>17</v>
      </c>
      <c r="K635" t="s">
        <v>32</v>
      </c>
      <c r="L635" t="s">
        <v>5</v>
      </c>
      <c r="M635">
        <v>6.48</v>
      </c>
      <c r="N635">
        <v>1</v>
      </c>
      <c r="O635">
        <v>0</v>
      </c>
      <c r="P635">
        <v>3.1103999999999998</v>
      </c>
      <c r="Q635" s="1">
        <v>0.48</v>
      </c>
      <c r="R635" t="s">
        <v>4</v>
      </c>
      <c r="S635" t="s">
        <v>394</v>
      </c>
    </row>
    <row r="636" spans="1:19" x14ac:dyDescent="0.3">
      <c r="A636">
        <v>1933</v>
      </c>
      <c r="B636" t="s">
        <v>1574</v>
      </c>
      <c r="C636">
        <v>2017</v>
      </c>
      <c r="D636" t="s">
        <v>420</v>
      </c>
      <c r="E636" t="s">
        <v>6</v>
      </c>
      <c r="F636" t="s">
        <v>287</v>
      </c>
      <c r="G636" t="s">
        <v>116</v>
      </c>
      <c r="H636" t="s">
        <v>9</v>
      </c>
      <c r="I636" t="s">
        <v>1575</v>
      </c>
      <c r="J636" t="s">
        <v>10</v>
      </c>
      <c r="K636" t="s">
        <v>11</v>
      </c>
      <c r="L636" t="s">
        <v>5</v>
      </c>
      <c r="M636">
        <v>145.74</v>
      </c>
      <c r="N636">
        <v>3</v>
      </c>
      <c r="O636">
        <v>0</v>
      </c>
      <c r="P636">
        <v>23.3184</v>
      </c>
      <c r="Q636" s="1">
        <v>0.16</v>
      </c>
      <c r="R636" t="s">
        <v>4</v>
      </c>
      <c r="S636" t="s">
        <v>394</v>
      </c>
    </row>
    <row r="637" spans="1:19" x14ac:dyDescent="0.3">
      <c r="A637">
        <v>1942</v>
      </c>
      <c r="B637" t="s">
        <v>1576</v>
      </c>
      <c r="C637">
        <v>2017</v>
      </c>
      <c r="D637" t="s">
        <v>420</v>
      </c>
      <c r="E637" t="s">
        <v>13</v>
      </c>
      <c r="F637" t="s">
        <v>162</v>
      </c>
      <c r="G637" t="s">
        <v>56</v>
      </c>
      <c r="H637" t="s">
        <v>38</v>
      </c>
      <c r="I637" t="s">
        <v>600</v>
      </c>
      <c r="J637" t="s">
        <v>17</v>
      </c>
      <c r="K637" t="s">
        <v>18</v>
      </c>
      <c r="L637" t="s">
        <v>53</v>
      </c>
      <c r="M637">
        <v>47.36</v>
      </c>
      <c r="N637">
        <v>4</v>
      </c>
      <c r="O637">
        <v>0.2</v>
      </c>
      <c r="P637">
        <v>17.760000000000002</v>
      </c>
      <c r="Q637" s="1">
        <v>0.375</v>
      </c>
      <c r="R637" t="s">
        <v>4</v>
      </c>
      <c r="S637" t="s">
        <v>408</v>
      </c>
    </row>
    <row r="638" spans="1:19" x14ac:dyDescent="0.3">
      <c r="A638">
        <v>1971</v>
      </c>
      <c r="B638" t="s">
        <v>1577</v>
      </c>
      <c r="C638">
        <v>2017</v>
      </c>
      <c r="D638" t="s">
        <v>417</v>
      </c>
      <c r="E638" t="s">
        <v>35</v>
      </c>
      <c r="F638" t="s">
        <v>70</v>
      </c>
      <c r="G638" t="s">
        <v>56</v>
      </c>
      <c r="H638" t="s">
        <v>38</v>
      </c>
      <c r="I638" t="s">
        <v>1578</v>
      </c>
      <c r="J638" t="s">
        <v>17</v>
      </c>
      <c r="K638" t="s">
        <v>25</v>
      </c>
      <c r="L638" t="s">
        <v>19</v>
      </c>
      <c r="M638">
        <v>6.4080000000000004</v>
      </c>
      <c r="N638">
        <v>3</v>
      </c>
      <c r="O638">
        <v>0.2</v>
      </c>
      <c r="P638">
        <v>0.64080000000000004</v>
      </c>
      <c r="Q638" s="1">
        <v>0.1</v>
      </c>
      <c r="R638" t="s">
        <v>4</v>
      </c>
      <c r="S638" t="s">
        <v>408</v>
      </c>
    </row>
    <row r="639" spans="1:19" x14ac:dyDescent="0.3">
      <c r="A639">
        <v>1973</v>
      </c>
      <c r="B639" t="s">
        <v>1579</v>
      </c>
      <c r="C639">
        <v>2014</v>
      </c>
      <c r="D639" t="s">
        <v>410</v>
      </c>
      <c r="E639" t="s">
        <v>6</v>
      </c>
      <c r="F639" t="s">
        <v>70</v>
      </c>
      <c r="G639" t="s">
        <v>56</v>
      </c>
      <c r="H639" t="s">
        <v>38</v>
      </c>
      <c r="I639" t="s">
        <v>1580</v>
      </c>
      <c r="J639" t="s">
        <v>17</v>
      </c>
      <c r="K639" t="s">
        <v>28</v>
      </c>
      <c r="L639" t="s">
        <v>19</v>
      </c>
      <c r="M639">
        <v>5.1040000000000001</v>
      </c>
      <c r="N639">
        <v>4</v>
      </c>
      <c r="O639">
        <v>0.8</v>
      </c>
      <c r="P639">
        <v>-8.6768000000000001</v>
      </c>
      <c r="Q639" s="1">
        <v>-1.7</v>
      </c>
      <c r="R639" t="s">
        <v>401</v>
      </c>
      <c r="S639" t="s">
        <v>402</v>
      </c>
    </row>
    <row r="640" spans="1:19" x14ac:dyDescent="0.3">
      <c r="A640">
        <v>1976</v>
      </c>
      <c r="B640" t="s">
        <v>1581</v>
      </c>
      <c r="C640">
        <v>2014</v>
      </c>
      <c r="D640" t="s">
        <v>399</v>
      </c>
      <c r="E640" t="s">
        <v>13</v>
      </c>
      <c r="F640" t="s">
        <v>194</v>
      </c>
      <c r="G640" t="s">
        <v>79</v>
      </c>
      <c r="H640" t="s">
        <v>9</v>
      </c>
      <c r="I640" t="s">
        <v>896</v>
      </c>
      <c r="J640" t="s">
        <v>17</v>
      </c>
      <c r="K640" t="s">
        <v>23</v>
      </c>
      <c r="L640" t="s">
        <v>5</v>
      </c>
      <c r="M640">
        <v>275.97000000000003</v>
      </c>
      <c r="N640">
        <v>3</v>
      </c>
      <c r="O640">
        <v>0</v>
      </c>
      <c r="P640">
        <v>11.0388</v>
      </c>
      <c r="Q640" s="1">
        <v>0.04</v>
      </c>
      <c r="R640" t="s">
        <v>4</v>
      </c>
      <c r="S640" t="s">
        <v>394</v>
      </c>
    </row>
    <row r="641" spans="1:19" x14ac:dyDescent="0.3">
      <c r="A641">
        <v>1982</v>
      </c>
      <c r="B641" t="s">
        <v>1582</v>
      </c>
      <c r="C641">
        <v>2015</v>
      </c>
      <c r="D641" t="s">
        <v>410</v>
      </c>
      <c r="E641" t="s">
        <v>13</v>
      </c>
      <c r="F641" t="s">
        <v>94</v>
      </c>
      <c r="G641" t="s">
        <v>157</v>
      </c>
      <c r="H641" t="s">
        <v>9</v>
      </c>
      <c r="I641" t="s">
        <v>1583</v>
      </c>
      <c r="J641" t="s">
        <v>17</v>
      </c>
      <c r="K641" t="s">
        <v>28</v>
      </c>
      <c r="L641" t="s">
        <v>5</v>
      </c>
      <c r="M641">
        <v>3.76</v>
      </c>
      <c r="N641">
        <v>2</v>
      </c>
      <c r="O641">
        <v>0</v>
      </c>
      <c r="P641">
        <v>1.8048</v>
      </c>
      <c r="Q641" s="1">
        <v>0.48</v>
      </c>
      <c r="R641" t="s">
        <v>4</v>
      </c>
      <c r="S641" t="s">
        <v>394</v>
      </c>
    </row>
    <row r="642" spans="1:19" x14ac:dyDescent="0.3">
      <c r="A642">
        <v>1983</v>
      </c>
      <c r="B642" t="s">
        <v>1584</v>
      </c>
      <c r="C642">
        <v>2014</v>
      </c>
      <c r="D642" t="s">
        <v>410</v>
      </c>
      <c r="E642" t="s">
        <v>6</v>
      </c>
      <c r="F642" t="s">
        <v>305</v>
      </c>
      <c r="G642" t="s">
        <v>110</v>
      </c>
      <c r="H642" t="s">
        <v>38</v>
      </c>
      <c r="I642" t="s">
        <v>1585</v>
      </c>
      <c r="J642" t="s">
        <v>26</v>
      </c>
      <c r="K642" t="s">
        <v>27</v>
      </c>
      <c r="L642" t="s">
        <v>19</v>
      </c>
      <c r="M642">
        <v>479.96</v>
      </c>
      <c r="N642">
        <v>4</v>
      </c>
      <c r="O642">
        <v>0</v>
      </c>
      <c r="P642">
        <v>134.3888</v>
      </c>
      <c r="Q642" s="1">
        <v>0.28000000000000003</v>
      </c>
      <c r="R642" t="s">
        <v>4</v>
      </c>
      <c r="S642" t="s">
        <v>394</v>
      </c>
    </row>
    <row r="643" spans="1:19" x14ac:dyDescent="0.3">
      <c r="A643">
        <v>1984</v>
      </c>
      <c r="B643" t="s">
        <v>1586</v>
      </c>
      <c r="C643">
        <v>2014</v>
      </c>
      <c r="D643" t="s">
        <v>392</v>
      </c>
      <c r="E643" t="s">
        <v>13</v>
      </c>
      <c r="F643" t="s">
        <v>135</v>
      </c>
      <c r="G643" t="s">
        <v>15</v>
      </c>
      <c r="H643" t="s">
        <v>16</v>
      </c>
      <c r="I643" t="s">
        <v>1587</v>
      </c>
      <c r="J643" t="s">
        <v>17</v>
      </c>
      <c r="K643" t="s">
        <v>29</v>
      </c>
      <c r="L643" t="s">
        <v>5</v>
      </c>
      <c r="M643">
        <v>320.88</v>
      </c>
      <c r="N643">
        <v>6</v>
      </c>
      <c r="O643">
        <v>0</v>
      </c>
      <c r="P643">
        <v>93.055199999999999</v>
      </c>
      <c r="Q643" s="1">
        <v>0.28999999999999998</v>
      </c>
      <c r="R643" t="s">
        <v>4</v>
      </c>
      <c r="S643" t="s">
        <v>394</v>
      </c>
    </row>
    <row r="644" spans="1:19" x14ac:dyDescent="0.3">
      <c r="A644">
        <v>1992</v>
      </c>
      <c r="B644" t="s">
        <v>1588</v>
      </c>
      <c r="C644">
        <v>2017</v>
      </c>
      <c r="D644" t="s">
        <v>529</v>
      </c>
      <c r="E644" t="s">
        <v>6</v>
      </c>
      <c r="F644" t="s">
        <v>46</v>
      </c>
      <c r="G644" t="s">
        <v>47</v>
      </c>
      <c r="H644" t="s">
        <v>48</v>
      </c>
      <c r="I644" t="s">
        <v>1589</v>
      </c>
      <c r="J644" t="s">
        <v>17</v>
      </c>
      <c r="K644" t="s">
        <v>28</v>
      </c>
      <c r="L644" t="s">
        <v>19</v>
      </c>
      <c r="M644">
        <v>4.9560000000000004</v>
      </c>
      <c r="N644">
        <v>4</v>
      </c>
      <c r="O644">
        <v>0.7</v>
      </c>
      <c r="P644">
        <v>-3.7995999999999999</v>
      </c>
      <c r="Q644" s="1">
        <v>-0.76666666666666605</v>
      </c>
      <c r="R644" t="s">
        <v>401</v>
      </c>
      <c r="S644" t="s">
        <v>402</v>
      </c>
    </row>
    <row r="645" spans="1:19" x14ac:dyDescent="0.3">
      <c r="A645">
        <v>1993</v>
      </c>
      <c r="B645" t="s">
        <v>1590</v>
      </c>
      <c r="C645">
        <v>2017</v>
      </c>
      <c r="D645" t="s">
        <v>396</v>
      </c>
      <c r="E645" t="s">
        <v>35</v>
      </c>
      <c r="F645" t="s">
        <v>73</v>
      </c>
      <c r="G645" t="s">
        <v>86</v>
      </c>
      <c r="H645" t="s">
        <v>16</v>
      </c>
      <c r="I645" t="s">
        <v>783</v>
      </c>
      <c r="J645" t="s">
        <v>17</v>
      </c>
      <c r="K645" t="s">
        <v>18</v>
      </c>
      <c r="L645" t="s">
        <v>19</v>
      </c>
      <c r="M645">
        <v>71.040000000000006</v>
      </c>
      <c r="N645">
        <v>6</v>
      </c>
      <c r="O645">
        <v>0.2</v>
      </c>
      <c r="P645">
        <v>26.64</v>
      </c>
      <c r="Q645" s="1">
        <v>0.375</v>
      </c>
      <c r="R645" t="s">
        <v>4</v>
      </c>
      <c r="S645" t="s">
        <v>408</v>
      </c>
    </row>
    <row r="646" spans="1:19" x14ac:dyDescent="0.3">
      <c r="A646">
        <v>1998</v>
      </c>
      <c r="B646" t="s">
        <v>1591</v>
      </c>
      <c r="C646">
        <v>2014</v>
      </c>
      <c r="D646" t="s">
        <v>529</v>
      </c>
      <c r="E646" t="s">
        <v>13</v>
      </c>
      <c r="F646" t="s">
        <v>306</v>
      </c>
      <c r="G646" t="s">
        <v>74</v>
      </c>
      <c r="H646" t="s">
        <v>9</v>
      </c>
      <c r="I646" t="s">
        <v>1425</v>
      </c>
      <c r="J646" t="s">
        <v>17</v>
      </c>
      <c r="K646" t="s">
        <v>18</v>
      </c>
      <c r="L646" t="s">
        <v>53</v>
      </c>
      <c r="M646">
        <v>15</v>
      </c>
      <c r="N646">
        <v>4</v>
      </c>
      <c r="O646">
        <v>0</v>
      </c>
      <c r="P646">
        <v>7.2</v>
      </c>
      <c r="Q646" s="1">
        <v>0.48</v>
      </c>
      <c r="R646" t="s">
        <v>4</v>
      </c>
      <c r="S646" t="s">
        <v>394</v>
      </c>
    </row>
    <row r="647" spans="1:19" x14ac:dyDescent="0.3">
      <c r="A647">
        <v>2001</v>
      </c>
      <c r="B647" t="s">
        <v>1592</v>
      </c>
      <c r="C647">
        <v>2017</v>
      </c>
      <c r="D647" t="s">
        <v>406</v>
      </c>
      <c r="E647" t="s">
        <v>6</v>
      </c>
      <c r="F647" t="s">
        <v>104</v>
      </c>
      <c r="G647" t="s">
        <v>15</v>
      </c>
      <c r="H647" t="s">
        <v>16</v>
      </c>
      <c r="I647" t="s">
        <v>1593</v>
      </c>
      <c r="J647" t="s">
        <v>26</v>
      </c>
      <c r="K647" t="s">
        <v>50</v>
      </c>
      <c r="L647" t="s">
        <v>19</v>
      </c>
      <c r="M647">
        <v>199.95</v>
      </c>
      <c r="N647">
        <v>5</v>
      </c>
      <c r="O647">
        <v>0</v>
      </c>
      <c r="P647">
        <v>21.994499999999999</v>
      </c>
      <c r="Q647" s="1">
        <v>0.11</v>
      </c>
      <c r="R647" t="s">
        <v>4</v>
      </c>
      <c r="S647" t="s">
        <v>394</v>
      </c>
    </row>
    <row r="648" spans="1:19" x14ac:dyDescent="0.3">
      <c r="A648">
        <v>2008</v>
      </c>
      <c r="B648" t="s">
        <v>1594</v>
      </c>
      <c r="C648">
        <v>2017</v>
      </c>
      <c r="D648" t="s">
        <v>420</v>
      </c>
      <c r="E648" t="s">
        <v>6</v>
      </c>
      <c r="F648" t="s">
        <v>70</v>
      </c>
      <c r="G648" t="s">
        <v>56</v>
      </c>
      <c r="H648" t="s">
        <v>38</v>
      </c>
      <c r="I648" t="s">
        <v>1595</v>
      </c>
      <c r="J648" t="s">
        <v>10</v>
      </c>
      <c r="K648" t="s">
        <v>11</v>
      </c>
      <c r="L648" t="s">
        <v>53</v>
      </c>
      <c r="M648">
        <v>183.37200000000001</v>
      </c>
      <c r="N648">
        <v>2</v>
      </c>
      <c r="O648">
        <v>0.3</v>
      </c>
      <c r="P648">
        <v>-36.674399999999999</v>
      </c>
      <c r="Q648" s="1">
        <v>-0.2</v>
      </c>
      <c r="R648" t="s">
        <v>401</v>
      </c>
      <c r="S648" t="s">
        <v>402</v>
      </c>
    </row>
    <row r="649" spans="1:19" x14ac:dyDescent="0.3">
      <c r="A649">
        <v>2009</v>
      </c>
      <c r="B649" t="s">
        <v>1596</v>
      </c>
      <c r="C649">
        <v>2014</v>
      </c>
      <c r="D649" t="s">
        <v>392</v>
      </c>
      <c r="E649" t="s">
        <v>6</v>
      </c>
      <c r="F649" t="s">
        <v>308</v>
      </c>
      <c r="G649" t="s">
        <v>77</v>
      </c>
      <c r="H649" t="s">
        <v>9</v>
      </c>
      <c r="I649" t="s">
        <v>1391</v>
      </c>
      <c r="J649" t="s">
        <v>17</v>
      </c>
      <c r="K649" t="s">
        <v>25</v>
      </c>
      <c r="L649" t="s">
        <v>19</v>
      </c>
      <c r="M649">
        <v>4.2240000000000002</v>
      </c>
      <c r="N649">
        <v>3</v>
      </c>
      <c r="O649">
        <v>0.2</v>
      </c>
      <c r="P649">
        <v>0.47520000000000001</v>
      </c>
      <c r="Q649" s="1">
        <v>0.1125</v>
      </c>
      <c r="R649" t="s">
        <v>4</v>
      </c>
      <c r="S649" t="s">
        <v>408</v>
      </c>
    </row>
    <row r="650" spans="1:19" x14ac:dyDescent="0.3">
      <c r="A650">
        <v>2025</v>
      </c>
      <c r="B650" t="s">
        <v>1597</v>
      </c>
      <c r="C650">
        <v>2017</v>
      </c>
      <c r="D650" t="s">
        <v>420</v>
      </c>
      <c r="E650" t="s">
        <v>6</v>
      </c>
      <c r="F650" t="s">
        <v>259</v>
      </c>
      <c r="G650" t="s">
        <v>15</v>
      </c>
      <c r="H650" t="s">
        <v>16</v>
      </c>
      <c r="I650" t="s">
        <v>1309</v>
      </c>
      <c r="J650" t="s">
        <v>17</v>
      </c>
      <c r="K650" t="s">
        <v>28</v>
      </c>
      <c r="L650" t="s">
        <v>5</v>
      </c>
      <c r="M650">
        <v>239.12</v>
      </c>
      <c r="N650">
        <v>5</v>
      </c>
      <c r="O650">
        <v>0.2</v>
      </c>
      <c r="P650">
        <v>77.713999999999999</v>
      </c>
      <c r="Q650" s="1">
        <v>0.32500000000000001</v>
      </c>
      <c r="R650" t="s">
        <v>4</v>
      </c>
      <c r="S650" t="s">
        <v>408</v>
      </c>
    </row>
    <row r="651" spans="1:19" x14ac:dyDescent="0.3">
      <c r="A651">
        <v>2026</v>
      </c>
      <c r="B651" t="s">
        <v>1598</v>
      </c>
      <c r="C651">
        <v>2015</v>
      </c>
      <c r="D651" t="s">
        <v>447</v>
      </c>
      <c r="E651" t="s">
        <v>6</v>
      </c>
      <c r="F651" t="s">
        <v>33</v>
      </c>
      <c r="G651" t="s">
        <v>34</v>
      </c>
      <c r="H651" t="s">
        <v>16</v>
      </c>
      <c r="I651" t="s">
        <v>1599</v>
      </c>
      <c r="J651" t="s">
        <v>10</v>
      </c>
      <c r="K651" t="s">
        <v>11</v>
      </c>
      <c r="L651" t="s">
        <v>53</v>
      </c>
      <c r="M651">
        <v>141.96</v>
      </c>
      <c r="N651">
        <v>2</v>
      </c>
      <c r="O651">
        <v>0</v>
      </c>
      <c r="P651">
        <v>39.748800000000003</v>
      </c>
      <c r="Q651" s="1">
        <v>0.28000000000000003</v>
      </c>
      <c r="R651" t="s">
        <v>4</v>
      </c>
      <c r="S651" t="s">
        <v>394</v>
      </c>
    </row>
    <row r="652" spans="1:19" x14ac:dyDescent="0.3">
      <c r="A652">
        <v>2029</v>
      </c>
      <c r="B652" t="s">
        <v>1600</v>
      </c>
      <c r="C652">
        <v>2015</v>
      </c>
      <c r="D652" t="s">
        <v>392</v>
      </c>
      <c r="E652" t="s">
        <v>13</v>
      </c>
      <c r="F652" t="s">
        <v>309</v>
      </c>
      <c r="G652" t="s">
        <v>156</v>
      </c>
      <c r="H652" t="s">
        <v>48</v>
      </c>
      <c r="I652" t="s">
        <v>586</v>
      </c>
      <c r="J652" t="s">
        <v>17</v>
      </c>
      <c r="K652" t="s">
        <v>28</v>
      </c>
      <c r="L652" t="s">
        <v>19</v>
      </c>
      <c r="M652">
        <v>14.73</v>
      </c>
      <c r="N652">
        <v>3</v>
      </c>
      <c r="O652">
        <v>0</v>
      </c>
      <c r="P652">
        <v>6.9230999999999998</v>
      </c>
      <c r="Q652" s="1">
        <v>0.47</v>
      </c>
      <c r="R652" t="s">
        <v>4</v>
      </c>
      <c r="S652" t="s">
        <v>394</v>
      </c>
    </row>
    <row r="653" spans="1:19" x14ac:dyDescent="0.3">
      <c r="A653">
        <v>2037</v>
      </c>
      <c r="B653" t="s">
        <v>1601</v>
      </c>
      <c r="C653">
        <v>2015</v>
      </c>
      <c r="D653" t="s">
        <v>430</v>
      </c>
      <c r="E653" t="s">
        <v>35</v>
      </c>
      <c r="F653" t="s">
        <v>310</v>
      </c>
      <c r="G653" t="s">
        <v>192</v>
      </c>
      <c r="H653" t="s">
        <v>16</v>
      </c>
      <c r="I653" t="s">
        <v>1602</v>
      </c>
      <c r="J653" t="s">
        <v>17</v>
      </c>
      <c r="K653" t="s">
        <v>32</v>
      </c>
      <c r="L653" t="s">
        <v>19</v>
      </c>
      <c r="M653">
        <v>29.04</v>
      </c>
      <c r="N653">
        <v>3</v>
      </c>
      <c r="O653">
        <v>0</v>
      </c>
      <c r="P653">
        <v>13.9392</v>
      </c>
      <c r="Q653" s="1">
        <v>0.48</v>
      </c>
      <c r="R653" t="s">
        <v>4</v>
      </c>
      <c r="S653" t="s">
        <v>394</v>
      </c>
    </row>
    <row r="654" spans="1:19" x14ac:dyDescent="0.3">
      <c r="A654">
        <v>2039</v>
      </c>
      <c r="B654" t="s">
        <v>1603</v>
      </c>
      <c r="C654">
        <v>2015</v>
      </c>
      <c r="D654" t="s">
        <v>396</v>
      </c>
      <c r="E654" t="s">
        <v>35</v>
      </c>
      <c r="F654" t="s">
        <v>165</v>
      </c>
      <c r="G654" t="s">
        <v>72</v>
      </c>
      <c r="H654" t="s">
        <v>16</v>
      </c>
      <c r="I654" t="s">
        <v>1604</v>
      </c>
      <c r="J654" t="s">
        <v>17</v>
      </c>
      <c r="K654" t="s">
        <v>32</v>
      </c>
      <c r="L654" t="s">
        <v>19</v>
      </c>
      <c r="M654">
        <v>11.952</v>
      </c>
      <c r="N654">
        <v>3</v>
      </c>
      <c r="O654">
        <v>0.2</v>
      </c>
      <c r="P654">
        <v>4.3326000000000002</v>
      </c>
      <c r="Q654" s="1">
        <v>0.36249999999999999</v>
      </c>
      <c r="R654" t="s">
        <v>4</v>
      </c>
      <c r="S654" t="s">
        <v>408</v>
      </c>
    </row>
    <row r="655" spans="1:19" x14ac:dyDescent="0.3">
      <c r="A655">
        <v>2043</v>
      </c>
      <c r="B655" t="s">
        <v>1605</v>
      </c>
      <c r="C655">
        <v>2015</v>
      </c>
      <c r="D655" t="s">
        <v>399</v>
      </c>
      <c r="E655" t="s">
        <v>13</v>
      </c>
      <c r="F655" t="s">
        <v>134</v>
      </c>
      <c r="G655" t="s">
        <v>15</v>
      </c>
      <c r="H655" t="s">
        <v>16</v>
      </c>
      <c r="I655" t="s">
        <v>1606</v>
      </c>
      <c r="J655" t="s">
        <v>17</v>
      </c>
      <c r="K655" t="s">
        <v>28</v>
      </c>
      <c r="L655" t="s">
        <v>19</v>
      </c>
      <c r="M655">
        <v>57.503999999999998</v>
      </c>
      <c r="N655">
        <v>6</v>
      </c>
      <c r="O655">
        <v>0.2</v>
      </c>
      <c r="P655">
        <v>20.1264</v>
      </c>
      <c r="Q655" s="1">
        <v>0.35</v>
      </c>
      <c r="R655" t="s">
        <v>4</v>
      </c>
      <c r="S655" t="s">
        <v>408</v>
      </c>
    </row>
    <row r="656" spans="1:19" x14ac:dyDescent="0.3">
      <c r="A656">
        <v>2045</v>
      </c>
      <c r="B656" t="s">
        <v>1607</v>
      </c>
      <c r="C656">
        <v>2014</v>
      </c>
      <c r="D656" t="s">
        <v>420</v>
      </c>
      <c r="E656" t="s">
        <v>13</v>
      </c>
      <c r="F656" t="s">
        <v>52</v>
      </c>
      <c r="G656" t="s">
        <v>37</v>
      </c>
      <c r="H656" t="s">
        <v>38</v>
      </c>
      <c r="I656" t="s">
        <v>1608</v>
      </c>
      <c r="J656" t="s">
        <v>17</v>
      </c>
      <c r="K656" t="s">
        <v>32</v>
      </c>
      <c r="L656" t="s">
        <v>19</v>
      </c>
      <c r="M656">
        <v>15.552</v>
      </c>
      <c r="N656">
        <v>3</v>
      </c>
      <c r="O656">
        <v>0.2</v>
      </c>
      <c r="P656">
        <v>5.4432</v>
      </c>
      <c r="Q656" s="1">
        <v>0.35</v>
      </c>
      <c r="R656" t="s">
        <v>4</v>
      </c>
      <c r="S656" t="s">
        <v>408</v>
      </c>
    </row>
    <row r="657" spans="1:19" x14ac:dyDescent="0.3">
      <c r="A657">
        <v>2049</v>
      </c>
      <c r="B657" t="s">
        <v>1609</v>
      </c>
      <c r="C657">
        <v>2015</v>
      </c>
      <c r="D657" t="s">
        <v>425</v>
      </c>
      <c r="E657" t="s">
        <v>6</v>
      </c>
      <c r="F657" t="s">
        <v>46</v>
      </c>
      <c r="G657" t="s">
        <v>47</v>
      </c>
      <c r="H657" t="s">
        <v>48</v>
      </c>
      <c r="I657" t="s">
        <v>534</v>
      </c>
      <c r="J657" t="s">
        <v>10</v>
      </c>
      <c r="K657" t="s">
        <v>24</v>
      </c>
      <c r="L657" t="s">
        <v>53</v>
      </c>
      <c r="M657">
        <v>289.8</v>
      </c>
      <c r="N657">
        <v>7</v>
      </c>
      <c r="O657">
        <v>0.2</v>
      </c>
      <c r="P657">
        <v>36.225000000000001</v>
      </c>
      <c r="Q657" s="1">
        <v>0.125</v>
      </c>
      <c r="R657" t="s">
        <v>4</v>
      </c>
      <c r="S657" t="s">
        <v>408</v>
      </c>
    </row>
    <row r="658" spans="1:19" x14ac:dyDescent="0.3">
      <c r="A658">
        <v>2060</v>
      </c>
      <c r="B658" t="s">
        <v>1610</v>
      </c>
      <c r="C658">
        <v>2014</v>
      </c>
      <c r="D658" t="s">
        <v>399</v>
      </c>
      <c r="E658" t="s">
        <v>13</v>
      </c>
      <c r="F658" t="s">
        <v>14</v>
      </c>
      <c r="G658" t="s">
        <v>15</v>
      </c>
      <c r="H658" t="s">
        <v>16</v>
      </c>
      <c r="I658" t="s">
        <v>1611</v>
      </c>
      <c r="J658" t="s">
        <v>17</v>
      </c>
      <c r="K658" t="s">
        <v>68</v>
      </c>
      <c r="L658" t="s">
        <v>19</v>
      </c>
      <c r="M658">
        <v>11.34</v>
      </c>
      <c r="N658">
        <v>3</v>
      </c>
      <c r="O658">
        <v>0</v>
      </c>
      <c r="P658">
        <v>5.2164000000000001</v>
      </c>
      <c r="Q658" s="1">
        <v>0.46</v>
      </c>
      <c r="R658" t="s">
        <v>4</v>
      </c>
      <c r="S658" t="s">
        <v>394</v>
      </c>
    </row>
    <row r="659" spans="1:19" x14ac:dyDescent="0.3">
      <c r="A659">
        <v>2069</v>
      </c>
      <c r="B659" t="s">
        <v>1612</v>
      </c>
      <c r="C659">
        <v>2015</v>
      </c>
      <c r="D659" t="s">
        <v>406</v>
      </c>
      <c r="E659" t="s">
        <v>6</v>
      </c>
      <c r="F659" t="s">
        <v>275</v>
      </c>
      <c r="G659" t="s">
        <v>15</v>
      </c>
      <c r="H659" t="s">
        <v>16</v>
      </c>
      <c r="I659" t="s">
        <v>1613</v>
      </c>
      <c r="J659" t="s">
        <v>26</v>
      </c>
      <c r="K659" t="s">
        <v>50</v>
      </c>
      <c r="L659" t="s">
        <v>19</v>
      </c>
      <c r="M659">
        <v>199.96</v>
      </c>
      <c r="N659">
        <v>4</v>
      </c>
      <c r="O659">
        <v>0</v>
      </c>
      <c r="P659">
        <v>69.986000000000004</v>
      </c>
      <c r="Q659" s="1">
        <v>0.35</v>
      </c>
      <c r="R659" t="s">
        <v>4</v>
      </c>
      <c r="S659" t="s">
        <v>394</v>
      </c>
    </row>
    <row r="660" spans="1:19" x14ac:dyDescent="0.3">
      <c r="A660">
        <v>2071</v>
      </c>
      <c r="B660" t="s">
        <v>1614</v>
      </c>
      <c r="C660">
        <v>2016</v>
      </c>
      <c r="D660" t="s">
        <v>425</v>
      </c>
      <c r="E660" t="s">
        <v>13</v>
      </c>
      <c r="F660" t="s">
        <v>46</v>
      </c>
      <c r="G660" t="s">
        <v>47</v>
      </c>
      <c r="H660" t="s">
        <v>48</v>
      </c>
      <c r="I660" t="s">
        <v>1204</v>
      </c>
      <c r="J660" t="s">
        <v>17</v>
      </c>
      <c r="K660" t="s">
        <v>28</v>
      </c>
      <c r="L660" t="s">
        <v>5</v>
      </c>
      <c r="M660">
        <v>1.9410000000000001</v>
      </c>
      <c r="N660">
        <v>1</v>
      </c>
      <c r="O660">
        <v>0.7</v>
      </c>
      <c r="P660">
        <v>-1.294</v>
      </c>
      <c r="Q660" s="1">
        <v>-0.66666666666666696</v>
      </c>
      <c r="R660" t="s">
        <v>401</v>
      </c>
      <c r="S660" t="s">
        <v>402</v>
      </c>
    </row>
    <row r="661" spans="1:19" x14ac:dyDescent="0.3">
      <c r="A661">
        <v>2074</v>
      </c>
      <c r="B661" t="s">
        <v>1615</v>
      </c>
      <c r="C661">
        <v>2017</v>
      </c>
      <c r="D661" t="s">
        <v>392</v>
      </c>
      <c r="E661" t="s">
        <v>35</v>
      </c>
      <c r="F661" t="s">
        <v>135</v>
      </c>
      <c r="G661" t="s">
        <v>15</v>
      </c>
      <c r="H661" t="s">
        <v>16</v>
      </c>
      <c r="I661" t="s">
        <v>1616</v>
      </c>
      <c r="J661" t="s">
        <v>26</v>
      </c>
      <c r="K661" t="s">
        <v>50</v>
      </c>
      <c r="L661" t="s">
        <v>5</v>
      </c>
      <c r="M661">
        <v>59.97</v>
      </c>
      <c r="N661">
        <v>3</v>
      </c>
      <c r="O661">
        <v>0</v>
      </c>
      <c r="P661">
        <v>13.793100000000001</v>
      </c>
      <c r="Q661" s="1">
        <v>0.23</v>
      </c>
      <c r="R661" t="s">
        <v>4</v>
      </c>
      <c r="S661" t="s">
        <v>394</v>
      </c>
    </row>
    <row r="662" spans="1:19" x14ac:dyDescent="0.3">
      <c r="A662">
        <v>2083</v>
      </c>
      <c r="B662" t="s">
        <v>1617</v>
      </c>
      <c r="C662">
        <v>2017</v>
      </c>
      <c r="D662" t="s">
        <v>529</v>
      </c>
      <c r="E662" t="s">
        <v>6</v>
      </c>
      <c r="F662" t="s">
        <v>14</v>
      </c>
      <c r="G662" t="s">
        <v>15</v>
      </c>
      <c r="H662" t="s">
        <v>16</v>
      </c>
      <c r="I662" t="s">
        <v>1618</v>
      </c>
      <c r="J662" t="s">
        <v>17</v>
      </c>
      <c r="K662" t="s">
        <v>32</v>
      </c>
      <c r="L662" t="s">
        <v>19</v>
      </c>
      <c r="M662">
        <v>37.44</v>
      </c>
      <c r="N662">
        <v>6</v>
      </c>
      <c r="O662">
        <v>0</v>
      </c>
      <c r="P662">
        <v>16.847999999999999</v>
      </c>
      <c r="Q662" s="1">
        <v>0.45</v>
      </c>
      <c r="R662" t="s">
        <v>4</v>
      </c>
      <c r="S662" t="s">
        <v>394</v>
      </c>
    </row>
    <row r="663" spans="1:19" x14ac:dyDescent="0.3">
      <c r="A663">
        <v>2085</v>
      </c>
      <c r="B663" t="s">
        <v>1619</v>
      </c>
      <c r="C663">
        <v>2016</v>
      </c>
      <c r="D663" t="s">
        <v>396</v>
      </c>
      <c r="E663" t="s">
        <v>6</v>
      </c>
      <c r="F663" t="s">
        <v>66</v>
      </c>
      <c r="G663" t="s">
        <v>67</v>
      </c>
      <c r="H663" t="s">
        <v>48</v>
      </c>
      <c r="I663" t="s">
        <v>1620</v>
      </c>
      <c r="J663" t="s">
        <v>17</v>
      </c>
      <c r="K663" t="s">
        <v>18</v>
      </c>
      <c r="L663" t="s">
        <v>19</v>
      </c>
      <c r="M663">
        <v>122.12</v>
      </c>
      <c r="N663">
        <v>4</v>
      </c>
      <c r="O663">
        <v>0</v>
      </c>
      <c r="P663">
        <v>56.175199999999997</v>
      </c>
      <c r="Q663" s="1">
        <v>0.46</v>
      </c>
      <c r="R663" t="s">
        <v>4</v>
      </c>
      <c r="S663" t="s">
        <v>394</v>
      </c>
    </row>
    <row r="664" spans="1:19" x14ac:dyDescent="0.3">
      <c r="A664">
        <v>2090</v>
      </c>
      <c r="B664" t="s">
        <v>1621</v>
      </c>
      <c r="C664">
        <v>2015</v>
      </c>
      <c r="D664" t="s">
        <v>399</v>
      </c>
      <c r="E664" t="s">
        <v>13</v>
      </c>
      <c r="F664" t="s">
        <v>311</v>
      </c>
      <c r="G664" t="s">
        <v>15</v>
      </c>
      <c r="H664" t="s">
        <v>16</v>
      </c>
      <c r="I664" t="s">
        <v>1622</v>
      </c>
      <c r="J664" t="s">
        <v>17</v>
      </c>
      <c r="K664" t="s">
        <v>18</v>
      </c>
      <c r="L664" t="s">
        <v>19</v>
      </c>
      <c r="M664">
        <v>5.76</v>
      </c>
      <c r="N664">
        <v>2</v>
      </c>
      <c r="O664">
        <v>0</v>
      </c>
      <c r="P664">
        <v>2.6496</v>
      </c>
      <c r="Q664" s="1">
        <v>0.46</v>
      </c>
      <c r="R664" t="s">
        <v>4</v>
      </c>
      <c r="S664" t="s">
        <v>394</v>
      </c>
    </row>
    <row r="665" spans="1:19" x14ac:dyDescent="0.3">
      <c r="A665">
        <v>2091</v>
      </c>
      <c r="B665" t="s">
        <v>1623</v>
      </c>
      <c r="C665">
        <v>2017</v>
      </c>
      <c r="D665" t="s">
        <v>425</v>
      </c>
      <c r="E665" t="s">
        <v>6</v>
      </c>
      <c r="F665" t="s">
        <v>97</v>
      </c>
      <c r="G665" t="s">
        <v>63</v>
      </c>
      <c r="H665" t="s">
        <v>48</v>
      </c>
      <c r="I665" t="s">
        <v>1624</v>
      </c>
      <c r="J665" t="s">
        <v>17</v>
      </c>
      <c r="K665" t="s">
        <v>28</v>
      </c>
      <c r="L665" t="s">
        <v>19</v>
      </c>
      <c r="M665">
        <v>26.55</v>
      </c>
      <c r="N665">
        <v>3</v>
      </c>
      <c r="O665">
        <v>0</v>
      </c>
      <c r="P665">
        <v>13.009499999999999</v>
      </c>
      <c r="Q665" s="1">
        <v>0.49</v>
      </c>
      <c r="R665" t="s">
        <v>4</v>
      </c>
      <c r="S665" t="s">
        <v>394</v>
      </c>
    </row>
    <row r="666" spans="1:19" x14ac:dyDescent="0.3">
      <c r="A666">
        <v>2093</v>
      </c>
      <c r="B666" t="s">
        <v>1625</v>
      </c>
      <c r="C666">
        <v>2014</v>
      </c>
      <c r="D666" t="s">
        <v>392</v>
      </c>
      <c r="E666" t="s">
        <v>35</v>
      </c>
      <c r="F666" t="s">
        <v>312</v>
      </c>
      <c r="G666" t="s">
        <v>59</v>
      </c>
      <c r="H666" t="s">
        <v>38</v>
      </c>
      <c r="I666" t="s">
        <v>1626</v>
      </c>
      <c r="J666" t="s">
        <v>10</v>
      </c>
      <c r="K666" t="s">
        <v>12</v>
      </c>
      <c r="L666" t="s">
        <v>19</v>
      </c>
      <c r="M666">
        <v>479.9</v>
      </c>
      <c r="N666">
        <v>5</v>
      </c>
      <c r="O666">
        <v>0</v>
      </c>
      <c r="P666">
        <v>81.582999999999998</v>
      </c>
      <c r="Q666" s="1">
        <v>0.17</v>
      </c>
      <c r="R666" t="s">
        <v>4</v>
      </c>
      <c r="S666" t="s">
        <v>394</v>
      </c>
    </row>
    <row r="667" spans="1:19" x14ac:dyDescent="0.3">
      <c r="A667">
        <v>2095</v>
      </c>
      <c r="B667" t="s">
        <v>1627</v>
      </c>
      <c r="C667">
        <v>2015</v>
      </c>
      <c r="D667" t="s">
        <v>392</v>
      </c>
      <c r="E667" t="s">
        <v>6</v>
      </c>
      <c r="F667" t="s">
        <v>97</v>
      </c>
      <c r="G667" t="s">
        <v>31</v>
      </c>
      <c r="H667" t="s">
        <v>9</v>
      </c>
      <c r="I667" t="s">
        <v>1628</v>
      </c>
      <c r="J667" t="s">
        <v>17</v>
      </c>
      <c r="K667" t="s">
        <v>25</v>
      </c>
      <c r="L667" t="s">
        <v>19</v>
      </c>
      <c r="M667">
        <v>13.12</v>
      </c>
      <c r="N667">
        <v>5</v>
      </c>
      <c r="O667">
        <v>0.2</v>
      </c>
      <c r="P667">
        <v>1.476</v>
      </c>
      <c r="Q667" s="1">
        <v>0.1125</v>
      </c>
      <c r="R667" t="s">
        <v>4</v>
      </c>
      <c r="S667" t="s">
        <v>408</v>
      </c>
    </row>
    <row r="668" spans="1:19" x14ac:dyDescent="0.3">
      <c r="A668">
        <v>2096</v>
      </c>
      <c r="B668" t="s">
        <v>1629</v>
      </c>
      <c r="C668">
        <v>2016</v>
      </c>
      <c r="D668" t="s">
        <v>417</v>
      </c>
      <c r="E668" t="s">
        <v>35</v>
      </c>
      <c r="F668" t="s">
        <v>75</v>
      </c>
      <c r="G668" t="s">
        <v>175</v>
      </c>
      <c r="H668" t="s">
        <v>9</v>
      </c>
      <c r="I668" t="s">
        <v>1630</v>
      </c>
      <c r="J668" t="s">
        <v>17</v>
      </c>
      <c r="K668" t="s">
        <v>28</v>
      </c>
      <c r="L668" t="s">
        <v>19</v>
      </c>
      <c r="M668">
        <v>511.84</v>
      </c>
      <c r="N668">
        <v>8</v>
      </c>
      <c r="O668">
        <v>0</v>
      </c>
      <c r="P668">
        <v>240.56479999999999</v>
      </c>
      <c r="Q668" s="1">
        <v>0.47</v>
      </c>
      <c r="R668" t="s">
        <v>4</v>
      </c>
      <c r="S668" t="s">
        <v>394</v>
      </c>
    </row>
    <row r="669" spans="1:19" x14ac:dyDescent="0.3">
      <c r="A669">
        <v>2103</v>
      </c>
      <c r="B669" t="s">
        <v>1631</v>
      </c>
      <c r="C669">
        <v>2014</v>
      </c>
      <c r="D669" t="s">
        <v>425</v>
      </c>
      <c r="E669" t="s">
        <v>35</v>
      </c>
      <c r="F669" t="s">
        <v>161</v>
      </c>
      <c r="G669" t="s">
        <v>72</v>
      </c>
      <c r="H669" t="s">
        <v>16</v>
      </c>
      <c r="I669" t="s">
        <v>1632</v>
      </c>
      <c r="J669" t="s">
        <v>10</v>
      </c>
      <c r="K669" t="s">
        <v>12</v>
      </c>
      <c r="L669" t="s">
        <v>158</v>
      </c>
      <c r="M669">
        <v>259.13600000000002</v>
      </c>
      <c r="N669">
        <v>4</v>
      </c>
      <c r="O669">
        <v>0.2</v>
      </c>
      <c r="P669">
        <v>-25.913599999999999</v>
      </c>
      <c r="Q669" s="1">
        <v>-0.1</v>
      </c>
      <c r="R669" t="s">
        <v>401</v>
      </c>
      <c r="S669" t="s">
        <v>408</v>
      </c>
    </row>
    <row r="670" spans="1:19" x14ac:dyDescent="0.3">
      <c r="A670">
        <v>2104</v>
      </c>
      <c r="B670" t="s">
        <v>1633</v>
      </c>
      <c r="C670">
        <v>2017</v>
      </c>
      <c r="D670" t="s">
        <v>447</v>
      </c>
      <c r="E670" t="s">
        <v>13</v>
      </c>
      <c r="F670" t="s">
        <v>66</v>
      </c>
      <c r="G670" t="s">
        <v>67</v>
      </c>
      <c r="H670" t="s">
        <v>48</v>
      </c>
      <c r="I670" t="s">
        <v>1404</v>
      </c>
      <c r="J670" t="s">
        <v>17</v>
      </c>
      <c r="K670" t="s">
        <v>32</v>
      </c>
      <c r="L670" t="s">
        <v>5</v>
      </c>
      <c r="M670">
        <v>221.92</v>
      </c>
      <c r="N670">
        <v>4</v>
      </c>
      <c r="O670">
        <v>0</v>
      </c>
      <c r="P670">
        <v>106.52160000000001</v>
      </c>
      <c r="Q670" s="1">
        <v>0.48</v>
      </c>
      <c r="R670" t="s">
        <v>4</v>
      </c>
      <c r="S670" t="s">
        <v>394</v>
      </c>
    </row>
    <row r="671" spans="1:19" x14ac:dyDescent="0.3">
      <c r="A671">
        <v>2119</v>
      </c>
      <c r="B671" t="s">
        <v>1634</v>
      </c>
      <c r="C671">
        <v>2017</v>
      </c>
      <c r="D671" t="s">
        <v>406</v>
      </c>
      <c r="E671" t="s">
        <v>13</v>
      </c>
      <c r="F671" t="s">
        <v>33</v>
      </c>
      <c r="G671" t="s">
        <v>34</v>
      </c>
      <c r="H671" t="s">
        <v>16</v>
      </c>
      <c r="I671" t="s">
        <v>613</v>
      </c>
      <c r="J671" t="s">
        <v>17</v>
      </c>
      <c r="K671" t="s">
        <v>32</v>
      </c>
      <c r="L671" t="s">
        <v>53</v>
      </c>
      <c r="M671">
        <v>5.28</v>
      </c>
      <c r="N671">
        <v>1</v>
      </c>
      <c r="O671">
        <v>0</v>
      </c>
      <c r="P671">
        <v>2.3759999999999999</v>
      </c>
      <c r="Q671" s="1">
        <v>0.45</v>
      </c>
      <c r="R671" t="s">
        <v>4</v>
      </c>
      <c r="S671" t="s">
        <v>394</v>
      </c>
    </row>
    <row r="672" spans="1:19" x14ac:dyDescent="0.3">
      <c r="A672">
        <v>2127</v>
      </c>
      <c r="B672" t="s">
        <v>1635</v>
      </c>
      <c r="C672">
        <v>2014</v>
      </c>
      <c r="D672" t="s">
        <v>396</v>
      </c>
      <c r="E672" t="s">
        <v>6</v>
      </c>
      <c r="F672" t="s">
        <v>46</v>
      </c>
      <c r="G672" t="s">
        <v>47</v>
      </c>
      <c r="H672" t="s">
        <v>48</v>
      </c>
      <c r="I672" t="s">
        <v>731</v>
      </c>
      <c r="J672" t="s">
        <v>26</v>
      </c>
      <c r="K672" t="s">
        <v>50</v>
      </c>
      <c r="L672" t="s">
        <v>19</v>
      </c>
      <c r="M672">
        <v>86.376000000000005</v>
      </c>
      <c r="N672">
        <v>3</v>
      </c>
      <c r="O672">
        <v>0.2</v>
      </c>
      <c r="P672">
        <v>1.0797000000000001</v>
      </c>
      <c r="Q672" s="1">
        <v>1.2500000000000001E-2</v>
      </c>
      <c r="R672" t="s">
        <v>4</v>
      </c>
      <c r="S672" t="s">
        <v>408</v>
      </c>
    </row>
    <row r="673" spans="1:19" x14ac:dyDescent="0.3">
      <c r="A673">
        <v>2130</v>
      </c>
      <c r="B673" t="s">
        <v>1636</v>
      </c>
      <c r="C673">
        <v>2014</v>
      </c>
      <c r="D673" t="s">
        <v>417</v>
      </c>
      <c r="E673" t="s">
        <v>13</v>
      </c>
      <c r="F673" t="s">
        <v>62</v>
      </c>
      <c r="G673" t="s">
        <v>230</v>
      </c>
      <c r="H673" t="s">
        <v>48</v>
      </c>
      <c r="I673" t="s">
        <v>1637</v>
      </c>
      <c r="J673" t="s">
        <v>17</v>
      </c>
      <c r="K673" t="s">
        <v>29</v>
      </c>
      <c r="L673" t="s">
        <v>5</v>
      </c>
      <c r="M673">
        <v>33.28</v>
      </c>
      <c r="N673">
        <v>4</v>
      </c>
      <c r="O673">
        <v>0</v>
      </c>
      <c r="P673">
        <v>9.3184000000000005</v>
      </c>
      <c r="Q673" s="1">
        <v>0.28000000000000003</v>
      </c>
      <c r="R673" t="s">
        <v>4</v>
      </c>
      <c r="S673" t="s">
        <v>394</v>
      </c>
    </row>
    <row r="674" spans="1:19" x14ac:dyDescent="0.3">
      <c r="A674">
        <v>2134</v>
      </c>
      <c r="B674" t="s">
        <v>1638</v>
      </c>
      <c r="C674">
        <v>2015</v>
      </c>
      <c r="D674" t="s">
        <v>392</v>
      </c>
      <c r="E674" t="s">
        <v>6</v>
      </c>
      <c r="F674" t="s">
        <v>46</v>
      </c>
      <c r="G674" t="s">
        <v>47</v>
      </c>
      <c r="H674" t="s">
        <v>48</v>
      </c>
      <c r="I674" t="s">
        <v>411</v>
      </c>
      <c r="J674" t="s">
        <v>17</v>
      </c>
      <c r="K674" t="s">
        <v>28</v>
      </c>
      <c r="L674" t="s">
        <v>19</v>
      </c>
      <c r="M674">
        <v>152.99100000000001</v>
      </c>
      <c r="N674">
        <v>3</v>
      </c>
      <c r="O674">
        <v>0.7</v>
      </c>
      <c r="P674">
        <v>-122.39279999999999</v>
      </c>
      <c r="Q674" s="1">
        <v>-0.8</v>
      </c>
      <c r="R674" t="s">
        <v>401</v>
      </c>
      <c r="S674" t="s">
        <v>402</v>
      </c>
    </row>
    <row r="675" spans="1:19" x14ac:dyDescent="0.3">
      <c r="A675">
        <v>2139</v>
      </c>
      <c r="B675" t="s">
        <v>1639</v>
      </c>
      <c r="C675">
        <v>2017</v>
      </c>
      <c r="D675" t="s">
        <v>392</v>
      </c>
      <c r="E675" t="s">
        <v>6</v>
      </c>
      <c r="F675" t="s">
        <v>66</v>
      </c>
      <c r="G675" t="s">
        <v>67</v>
      </c>
      <c r="H675" t="s">
        <v>48</v>
      </c>
      <c r="I675" t="s">
        <v>928</v>
      </c>
      <c r="J675" t="s">
        <v>17</v>
      </c>
      <c r="K675" t="s">
        <v>32</v>
      </c>
      <c r="L675" t="s">
        <v>158</v>
      </c>
      <c r="M675">
        <v>146.82</v>
      </c>
      <c r="N675">
        <v>3</v>
      </c>
      <c r="O675">
        <v>0</v>
      </c>
      <c r="P675">
        <v>73.41</v>
      </c>
      <c r="Q675" s="1">
        <v>0.5</v>
      </c>
      <c r="R675" t="s">
        <v>4</v>
      </c>
      <c r="S675" t="s">
        <v>394</v>
      </c>
    </row>
    <row r="676" spans="1:19" x14ac:dyDescent="0.3">
      <c r="A676">
        <v>2146</v>
      </c>
      <c r="B676" t="s">
        <v>1640</v>
      </c>
      <c r="C676">
        <v>2016</v>
      </c>
      <c r="D676" t="s">
        <v>396</v>
      </c>
      <c r="E676" t="s">
        <v>13</v>
      </c>
      <c r="F676" t="s">
        <v>313</v>
      </c>
      <c r="G676" t="s">
        <v>47</v>
      </c>
      <c r="H676" t="s">
        <v>48</v>
      </c>
      <c r="I676" t="s">
        <v>616</v>
      </c>
      <c r="J676" t="s">
        <v>10</v>
      </c>
      <c r="K676" t="s">
        <v>12</v>
      </c>
      <c r="L676" t="s">
        <v>19</v>
      </c>
      <c r="M676">
        <v>422.05799999999999</v>
      </c>
      <c r="N676">
        <v>3</v>
      </c>
      <c r="O676">
        <v>0.3</v>
      </c>
      <c r="P676">
        <v>-18.088200000000001</v>
      </c>
      <c r="Q676" s="1">
        <v>-4.2857142857142899E-2</v>
      </c>
      <c r="R676" t="s">
        <v>401</v>
      </c>
      <c r="S676" t="s">
        <v>402</v>
      </c>
    </row>
    <row r="677" spans="1:19" x14ac:dyDescent="0.3">
      <c r="A677">
        <v>2161</v>
      </c>
      <c r="B677" t="s">
        <v>1641</v>
      </c>
      <c r="C677">
        <v>2016</v>
      </c>
      <c r="D677" t="s">
        <v>417</v>
      </c>
      <c r="E677" t="s">
        <v>6</v>
      </c>
      <c r="F677" t="s">
        <v>138</v>
      </c>
      <c r="G677" t="s">
        <v>95</v>
      </c>
      <c r="H677" t="s">
        <v>48</v>
      </c>
      <c r="I677" t="s">
        <v>1642</v>
      </c>
      <c r="J677" t="s">
        <v>10</v>
      </c>
      <c r="K677" t="s">
        <v>24</v>
      </c>
      <c r="L677" t="s">
        <v>158</v>
      </c>
      <c r="M677">
        <v>79.384</v>
      </c>
      <c r="N677">
        <v>1</v>
      </c>
      <c r="O677">
        <v>0.2</v>
      </c>
      <c r="P677">
        <v>29.768999999999998</v>
      </c>
      <c r="Q677" s="1">
        <v>0.375</v>
      </c>
      <c r="R677" t="s">
        <v>4</v>
      </c>
      <c r="S677" t="s">
        <v>408</v>
      </c>
    </row>
    <row r="678" spans="1:19" x14ac:dyDescent="0.3">
      <c r="A678">
        <v>2162</v>
      </c>
      <c r="B678" t="s">
        <v>1643</v>
      </c>
      <c r="C678">
        <v>2016</v>
      </c>
      <c r="D678" t="s">
        <v>430</v>
      </c>
      <c r="E678" t="s">
        <v>35</v>
      </c>
      <c r="F678" t="s">
        <v>245</v>
      </c>
      <c r="G678" t="s">
        <v>15</v>
      </c>
      <c r="H678" t="s">
        <v>16</v>
      </c>
      <c r="I678" t="s">
        <v>1644</v>
      </c>
      <c r="J678" t="s">
        <v>17</v>
      </c>
      <c r="K678" t="s">
        <v>25</v>
      </c>
      <c r="L678" t="s">
        <v>19</v>
      </c>
      <c r="M678">
        <v>34.58</v>
      </c>
      <c r="N678">
        <v>1</v>
      </c>
      <c r="O678">
        <v>0</v>
      </c>
      <c r="P678">
        <v>10.0282</v>
      </c>
      <c r="Q678" s="1">
        <v>0.28999999999999998</v>
      </c>
      <c r="R678" t="s">
        <v>4</v>
      </c>
      <c r="S678" t="s">
        <v>394</v>
      </c>
    </row>
    <row r="679" spans="1:19" x14ac:dyDescent="0.3">
      <c r="A679">
        <v>2163</v>
      </c>
      <c r="B679" t="s">
        <v>1645</v>
      </c>
      <c r="C679">
        <v>2017</v>
      </c>
      <c r="D679" t="s">
        <v>447</v>
      </c>
      <c r="E679" t="s">
        <v>35</v>
      </c>
      <c r="F679" t="s">
        <v>314</v>
      </c>
      <c r="G679" t="s">
        <v>15</v>
      </c>
      <c r="H679" t="s">
        <v>16</v>
      </c>
      <c r="I679" t="s">
        <v>1646</v>
      </c>
      <c r="J679" t="s">
        <v>17</v>
      </c>
      <c r="K679" t="s">
        <v>32</v>
      </c>
      <c r="L679" t="s">
        <v>19</v>
      </c>
      <c r="M679">
        <v>314.55</v>
      </c>
      <c r="N679">
        <v>3</v>
      </c>
      <c r="O679">
        <v>0</v>
      </c>
      <c r="P679">
        <v>150.98400000000001</v>
      </c>
      <c r="Q679" s="1">
        <v>0.48</v>
      </c>
      <c r="R679" t="s">
        <v>4</v>
      </c>
      <c r="S679" t="s">
        <v>394</v>
      </c>
    </row>
    <row r="680" spans="1:19" x14ac:dyDescent="0.3">
      <c r="A680">
        <v>2169</v>
      </c>
      <c r="B680" t="s">
        <v>1647</v>
      </c>
      <c r="C680">
        <v>2017</v>
      </c>
      <c r="D680" t="s">
        <v>430</v>
      </c>
      <c r="E680" t="s">
        <v>6</v>
      </c>
      <c r="F680" t="s">
        <v>286</v>
      </c>
      <c r="G680" t="s">
        <v>95</v>
      </c>
      <c r="H680" t="s">
        <v>48</v>
      </c>
      <c r="I680" t="s">
        <v>857</v>
      </c>
      <c r="J680" t="s">
        <v>17</v>
      </c>
      <c r="K680" t="s">
        <v>25</v>
      </c>
      <c r="L680" t="s">
        <v>5</v>
      </c>
      <c r="M680">
        <v>14.016</v>
      </c>
      <c r="N680">
        <v>3</v>
      </c>
      <c r="O680">
        <v>0.2</v>
      </c>
      <c r="P680">
        <v>1.752</v>
      </c>
      <c r="Q680" s="1">
        <v>0.125</v>
      </c>
      <c r="R680" t="s">
        <v>4</v>
      </c>
      <c r="S680" t="s">
        <v>408</v>
      </c>
    </row>
    <row r="681" spans="1:19" x14ac:dyDescent="0.3">
      <c r="A681">
        <v>2174</v>
      </c>
      <c r="B681" t="s">
        <v>1648</v>
      </c>
      <c r="C681">
        <v>2016</v>
      </c>
      <c r="D681" t="s">
        <v>425</v>
      </c>
      <c r="E681" t="s">
        <v>35</v>
      </c>
      <c r="F681" t="s">
        <v>52</v>
      </c>
      <c r="G681" t="s">
        <v>37</v>
      </c>
      <c r="H681" t="s">
        <v>38</v>
      </c>
      <c r="I681" t="s">
        <v>1649</v>
      </c>
      <c r="J681" t="s">
        <v>17</v>
      </c>
      <c r="K681" t="s">
        <v>28</v>
      </c>
      <c r="L681" t="s">
        <v>19</v>
      </c>
      <c r="M681">
        <v>9.2639999999999993</v>
      </c>
      <c r="N681">
        <v>3</v>
      </c>
      <c r="O681">
        <v>0.8</v>
      </c>
      <c r="P681">
        <v>-13.896000000000001</v>
      </c>
      <c r="Q681" s="1">
        <v>-1.5</v>
      </c>
      <c r="R681" t="s">
        <v>401</v>
      </c>
      <c r="S681" t="s">
        <v>402</v>
      </c>
    </row>
    <row r="682" spans="1:19" x14ac:dyDescent="0.3">
      <c r="A682">
        <v>2176</v>
      </c>
      <c r="B682" t="s">
        <v>1650</v>
      </c>
      <c r="C682">
        <v>2016</v>
      </c>
      <c r="D682" t="s">
        <v>399</v>
      </c>
      <c r="E682" t="s">
        <v>35</v>
      </c>
      <c r="F682" t="s">
        <v>315</v>
      </c>
      <c r="G682" t="s">
        <v>42</v>
      </c>
      <c r="H682" t="s">
        <v>16</v>
      </c>
      <c r="I682" t="s">
        <v>1651</v>
      </c>
      <c r="J682" t="s">
        <v>17</v>
      </c>
      <c r="K682" t="s">
        <v>32</v>
      </c>
      <c r="L682" t="s">
        <v>19</v>
      </c>
      <c r="M682">
        <v>45.68</v>
      </c>
      <c r="N682">
        <v>2</v>
      </c>
      <c r="O682">
        <v>0</v>
      </c>
      <c r="P682">
        <v>21.012799999999999</v>
      </c>
      <c r="Q682" s="1">
        <v>0.46</v>
      </c>
      <c r="R682" t="s">
        <v>4</v>
      </c>
      <c r="S682" t="s">
        <v>394</v>
      </c>
    </row>
    <row r="683" spans="1:19" x14ac:dyDescent="0.3">
      <c r="A683">
        <v>2180</v>
      </c>
      <c r="B683" t="s">
        <v>1652</v>
      </c>
      <c r="C683">
        <v>2016</v>
      </c>
      <c r="D683" t="s">
        <v>417</v>
      </c>
      <c r="E683" t="s">
        <v>6</v>
      </c>
      <c r="F683" t="s">
        <v>66</v>
      </c>
      <c r="G683" t="s">
        <v>67</v>
      </c>
      <c r="H683" t="s">
        <v>48</v>
      </c>
      <c r="I683" t="s">
        <v>1653</v>
      </c>
      <c r="J683" t="s">
        <v>17</v>
      </c>
      <c r="K683" t="s">
        <v>28</v>
      </c>
      <c r="L683" t="s">
        <v>19</v>
      </c>
      <c r="M683">
        <v>85.231999999999999</v>
      </c>
      <c r="N683">
        <v>7</v>
      </c>
      <c r="O683">
        <v>0.2</v>
      </c>
      <c r="P683">
        <v>30.896599999999999</v>
      </c>
      <c r="Q683" s="1">
        <v>0.36249999999999999</v>
      </c>
      <c r="R683" t="s">
        <v>4</v>
      </c>
      <c r="S683" t="s">
        <v>408</v>
      </c>
    </row>
    <row r="684" spans="1:19" x14ac:dyDescent="0.3">
      <c r="A684">
        <v>2188</v>
      </c>
      <c r="B684" t="s">
        <v>1654</v>
      </c>
      <c r="C684">
        <v>2017</v>
      </c>
      <c r="D684" t="s">
        <v>420</v>
      </c>
      <c r="E684" t="s">
        <v>6</v>
      </c>
      <c r="F684" t="s">
        <v>94</v>
      </c>
      <c r="G684" t="s">
        <v>65</v>
      </c>
      <c r="H684" t="s">
        <v>38</v>
      </c>
      <c r="I684" t="s">
        <v>1655</v>
      </c>
      <c r="J684" t="s">
        <v>17</v>
      </c>
      <c r="K684" t="s">
        <v>51</v>
      </c>
      <c r="L684" t="s">
        <v>19</v>
      </c>
      <c r="M684">
        <v>70.08</v>
      </c>
      <c r="N684">
        <v>6</v>
      </c>
      <c r="O684">
        <v>0</v>
      </c>
      <c r="P684">
        <v>35.04</v>
      </c>
      <c r="Q684" s="1">
        <v>0.5</v>
      </c>
      <c r="R684" t="s">
        <v>4</v>
      </c>
      <c r="S684" t="s">
        <v>394</v>
      </c>
    </row>
    <row r="685" spans="1:19" x14ac:dyDescent="0.3">
      <c r="A685">
        <v>2198</v>
      </c>
      <c r="B685" t="s">
        <v>1656</v>
      </c>
      <c r="C685">
        <v>2014</v>
      </c>
      <c r="D685" t="s">
        <v>392</v>
      </c>
      <c r="E685" t="s">
        <v>6</v>
      </c>
      <c r="F685" t="s">
        <v>194</v>
      </c>
      <c r="G685" t="s">
        <v>79</v>
      </c>
      <c r="H685" t="s">
        <v>9</v>
      </c>
      <c r="I685" t="s">
        <v>1657</v>
      </c>
      <c r="J685" t="s">
        <v>17</v>
      </c>
      <c r="K685" t="s">
        <v>25</v>
      </c>
      <c r="L685" t="s">
        <v>19</v>
      </c>
      <c r="M685">
        <v>14.67</v>
      </c>
      <c r="N685">
        <v>3</v>
      </c>
      <c r="O685">
        <v>0</v>
      </c>
      <c r="P685">
        <v>3.9609000000000001</v>
      </c>
      <c r="Q685" s="1">
        <v>0.27</v>
      </c>
      <c r="R685" t="s">
        <v>4</v>
      </c>
      <c r="S685" t="s">
        <v>394</v>
      </c>
    </row>
    <row r="686" spans="1:19" x14ac:dyDescent="0.3">
      <c r="A686">
        <v>2203</v>
      </c>
      <c r="B686" t="s">
        <v>1658</v>
      </c>
      <c r="C686">
        <v>2015</v>
      </c>
      <c r="D686" t="s">
        <v>428</v>
      </c>
      <c r="E686" t="s">
        <v>35</v>
      </c>
      <c r="F686" t="s">
        <v>33</v>
      </c>
      <c r="G686" t="s">
        <v>34</v>
      </c>
      <c r="H686" t="s">
        <v>16</v>
      </c>
      <c r="I686" t="s">
        <v>1659</v>
      </c>
      <c r="J686" t="s">
        <v>17</v>
      </c>
      <c r="K686" t="s">
        <v>28</v>
      </c>
      <c r="L686" t="s">
        <v>19</v>
      </c>
      <c r="M686">
        <v>6.0960000000000001</v>
      </c>
      <c r="N686">
        <v>2</v>
      </c>
      <c r="O686">
        <v>0.2</v>
      </c>
      <c r="P686">
        <v>2.1335999999999999</v>
      </c>
      <c r="Q686" s="1">
        <v>0.35</v>
      </c>
      <c r="R686" t="s">
        <v>4</v>
      </c>
      <c r="S686" t="s">
        <v>408</v>
      </c>
    </row>
    <row r="687" spans="1:19" x14ac:dyDescent="0.3">
      <c r="A687">
        <v>2205</v>
      </c>
      <c r="B687" t="s">
        <v>1660</v>
      </c>
      <c r="C687">
        <v>2015</v>
      </c>
      <c r="D687" t="s">
        <v>396</v>
      </c>
      <c r="E687" t="s">
        <v>6</v>
      </c>
      <c r="F687" t="s">
        <v>220</v>
      </c>
      <c r="G687" t="s">
        <v>47</v>
      </c>
      <c r="H687" t="s">
        <v>48</v>
      </c>
      <c r="I687" t="s">
        <v>1661</v>
      </c>
      <c r="J687" t="s">
        <v>10</v>
      </c>
      <c r="K687" t="s">
        <v>24</v>
      </c>
      <c r="L687" t="s">
        <v>19</v>
      </c>
      <c r="M687">
        <v>20.103999999999999</v>
      </c>
      <c r="N687">
        <v>1</v>
      </c>
      <c r="O687">
        <v>0.2</v>
      </c>
      <c r="P687">
        <v>1.7591000000000001</v>
      </c>
      <c r="Q687" s="1">
        <v>8.7499999999999994E-2</v>
      </c>
      <c r="R687" t="s">
        <v>4</v>
      </c>
      <c r="S687" t="s">
        <v>408</v>
      </c>
    </row>
    <row r="688" spans="1:19" x14ac:dyDescent="0.3">
      <c r="A688">
        <v>2207</v>
      </c>
      <c r="B688" t="s">
        <v>1662</v>
      </c>
      <c r="C688">
        <v>2014</v>
      </c>
      <c r="D688" t="s">
        <v>425</v>
      </c>
      <c r="E688" t="s">
        <v>35</v>
      </c>
      <c r="F688" t="s">
        <v>88</v>
      </c>
      <c r="G688" t="s">
        <v>56</v>
      </c>
      <c r="H688" t="s">
        <v>38</v>
      </c>
      <c r="I688" t="s">
        <v>967</v>
      </c>
      <c r="J688" t="s">
        <v>17</v>
      </c>
      <c r="K688" t="s">
        <v>28</v>
      </c>
      <c r="L688" t="s">
        <v>19</v>
      </c>
      <c r="M688">
        <v>29.931999999999999</v>
      </c>
      <c r="N688">
        <v>7</v>
      </c>
      <c r="O688">
        <v>0.8</v>
      </c>
      <c r="P688">
        <v>-46.394599999999997</v>
      </c>
      <c r="Q688" s="1">
        <v>-1.55</v>
      </c>
      <c r="R688" t="s">
        <v>401</v>
      </c>
      <c r="S688" t="s">
        <v>402</v>
      </c>
    </row>
    <row r="689" spans="1:19" x14ac:dyDescent="0.3">
      <c r="A689">
        <v>2210</v>
      </c>
      <c r="B689" t="s">
        <v>1663</v>
      </c>
      <c r="C689">
        <v>2014</v>
      </c>
      <c r="D689" t="s">
        <v>392</v>
      </c>
      <c r="E689" t="s">
        <v>6</v>
      </c>
      <c r="F689" t="s">
        <v>117</v>
      </c>
      <c r="G689" t="s">
        <v>118</v>
      </c>
      <c r="H689" t="s">
        <v>48</v>
      </c>
      <c r="I689" t="s">
        <v>1664</v>
      </c>
      <c r="J689" t="s">
        <v>26</v>
      </c>
      <c r="K689" t="s">
        <v>27</v>
      </c>
      <c r="L689" t="s">
        <v>5</v>
      </c>
      <c r="M689">
        <v>832.93</v>
      </c>
      <c r="N689">
        <v>7</v>
      </c>
      <c r="O689">
        <v>0</v>
      </c>
      <c r="P689">
        <v>233.22040000000001</v>
      </c>
      <c r="Q689" s="1">
        <v>0.28000000000000003</v>
      </c>
      <c r="R689" t="s">
        <v>4</v>
      </c>
      <c r="S689" t="s">
        <v>394</v>
      </c>
    </row>
    <row r="690" spans="1:19" x14ac:dyDescent="0.3">
      <c r="A690">
        <v>2219</v>
      </c>
      <c r="B690" t="s">
        <v>1665</v>
      </c>
      <c r="C690">
        <v>2017</v>
      </c>
      <c r="D690" t="s">
        <v>425</v>
      </c>
      <c r="E690" t="s">
        <v>13</v>
      </c>
      <c r="F690" t="s">
        <v>43</v>
      </c>
      <c r="G690" t="s">
        <v>15</v>
      </c>
      <c r="H690" t="s">
        <v>16</v>
      </c>
      <c r="I690" t="s">
        <v>1666</v>
      </c>
      <c r="J690" t="s">
        <v>17</v>
      </c>
      <c r="K690" t="s">
        <v>28</v>
      </c>
      <c r="L690" t="s">
        <v>19</v>
      </c>
      <c r="M690">
        <v>9.984</v>
      </c>
      <c r="N690">
        <v>4</v>
      </c>
      <c r="O690">
        <v>0.2</v>
      </c>
      <c r="P690">
        <v>3.6192000000000002</v>
      </c>
      <c r="Q690" s="1">
        <v>0.36249999999999999</v>
      </c>
      <c r="R690" t="s">
        <v>4</v>
      </c>
      <c r="S690" t="s">
        <v>408</v>
      </c>
    </row>
    <row r="691" spans="1:19" x14ac:dyDescent="0.3">
      <c r="A691">
        <v>2225</v>
      </c>
      <c r="B691" t="s">
        <v>1667</v>
      </c>
      <c r="C691">
        <v>2017</v>
      </c>
      <c r="D691" t="s">
        <v>425</v>
      </c>
      <c r="E691" t="s">
        <v>13</v>
      </c>
      <c r="F691" t="s">
        <v>46</v>
      </c>
      <c r="G691" t="s">
        <v>47</v>
      </c>
      <c r="H691" t="s">
        <v>48</v>
      </c>
      <c r="I691" t="s">
        <v>1668</v>
      </c>
      <c r="J691" t="s">
        <v>17</v>
      </c>
      <c r="K691" t="s">
        <v>32</v>
      </c>
      <c r="L691" t="s">
        <v>19</v>
      </c>
      <c r="M691">
        <v>54.816000000000003</v>
      </c>
      <c r="N691">
        <v>3</v>
      </c>
      <c r="O691">
        <v>0.2</v>
      </c>
      <c r="P691">
        <v>17.815200000000001</v>
      </c>
      <c r="Q691" s="1">
        <v>0.32500000000000001</v>
      </c>
      <c r="R691" t="s">
        <v>4</v>
      </c>
      <c r="S691" t="s">
        <v>408</v>
      </c>
    </row>
    <row r="692" spans="1:19" x14ac:dyDescent="0.3">
      <c r="A692">
        <v>2226</v>
      </c>
      <c r="B692" t="s">
        <v>1669</v>
      </c>
      <c r="C692">
        <v>2016</v>
      </c>
      <c r="D692" t="s">
        <v>447</v>
      </c>
      <c r="E692" t="s">
        <v>6</v>
      </c>
      <c r="F692" t="s">
        <v>317</v>
      </c>
      <c r="G692" t="s">
        <v>89</v>
      </c>
      <c r="H692" t="s">
        <v>16</v>
      </c>
      <c r="I692" t="s">
        <v>1670</v>
      </c>
      <c r="J692" t="s">
        <v>10</v>
      </c>
      <c r="K692" t="s">
        <v>11</v>
      </c>
      <c r="L692" t="s">
        <v>5</v>
      </c>
      <c r="M692">
        <v>72.293999999999997</v>
      </c>
      <c r="N692">
        <v>1</v>
      </c>
      <c r="O692">
        <v>0.7</v>
      </c>
      <c r="P692">
        <v>-98.8018</v>
      </c>
      <c r="Q692" s="1">
        <v>-1.36666666666667</v>
      </c>
      <c r="R692" t="s">
        <v>401</v>
      </c>
      <c r="S692" t="s">
        <v>402</v>
      </c>
    </row>
    <row r="693" spans="1:19" x14ac:dyDescent="0.3">
      <c r="A693">
        <v>2230</v>
      </c>
      <c r="B693" t="s">
        <v>1671</v>
      </c>
      <c r="C693">
        <v>2014</v>
      </c>
      <c r="D693" t="s">
        <v>447</v>
      </c>
      <c r="E693" t="s">
        <v>6</v>
      </c>
      <c r="F693" t="s">
        <v>43</v>
      </c>
      <c r="G693" t="s">
        <v>15</v>
      </c>
      <c r="H693" t="s">
        <v>16</v>
      </c>
      <c r="I693" t="s">
        <v>1672</v>
      </c>
      <c r="J693" t="s">
        <v>17</v>
      </c>
      <c r="K693" t="s">
        <v>28</v>
      </c>
      <c r="L693" t="s">
        <v>19</v>
      </c>
      <c r="M693">
        <v>673.56799999999998</v>
      </c>
      <c r="N693">
        <v>2</v>
      </c>
      <c r="O693">
        <v>0.2</v>
      </c>
      <c r="P693">
        <v>252.58799999999999</v>
      </c>
      <c r="Q693" s="1">
        <v>0.375</v>
      </c>
      <c r="R693" t="s">
        <v>4</v>
      </c>
      <c r="S693" t="s">
        <v>408</v>
      </c>
    </row>
    <row r="694" spans="1:19" x14ac:dyDescent="0.3">
      <c r="A694">
        <v>2238</v>
      </c>
      <c r="B694" t="s">
        <v>1673</v>
      </c>
      <c r="C694">
        <v>2016</v>
      </c>
      <c r="D694" t="s">
        <v>425</v>
      </c>
      <c r="E694" t="s">
        <v>35</v>
      </c>
      <c r="F694" t="s">
        <v>267</v>
      </c>
      <c r="G694" t="s">
        <v>42</v>
      </c>
      <c r="H694" t="s">
        <v>16</v>
      </c>
      <c r="I694" t="s">
        <v>1674</v>
      </c>
      <c r="J694" t="s">
        <v>17</v>
      </c>
      <c r="K694" t="s">
        <v>101</v>
      </c>
      <c r="L694" t="s">
        <v>19</v>
      </c>
      <c r="M694">
        <v>44.4</v>
      </c>
      <c r="N694">
        <v>5</v>
      </c>
      <c r="O694">
        <v>0</v>
      </c>
      <c r="P694">
        <v>12.432</v>
      </c>
      <c r="Q694" s="1">
        <v>0.28000000000000003</v>
      </c>
      <c r="R694" t="s">
        <v>4</v>
      </c>
      <c r="S694" t="s">
        <v>394</v>
      </c>
    </row>
    <row r="695" spans="1:19" x14ac:dyDescent="0.3">
      <c r="A695">
        <v>2239</v>
      </c>
      <c r="B695" t="s">
        <v>1675</v>
      </c>
      <c r="C695">
        <v>2017</v>
      </c>
      <c r="D695" t="s">
        <v>406</v>
      </c>
      <c r="E695" t="s">
        <v>35</v>
      </c>
      <c r="F695" t="s">
        <v>70</v>
      </c>
      <c r="G695" t="s">
        <v>56</v>
      </c>
      <c r="H695" t="s">
        <v>38</v>
      </c>
      <c r="I695" t="s">
        <v>1676</v>
      </c>
      <c r="J695" t="s">
        <v>10</v>
      </c>
      <c r="K695" t="s">
        <v>24</v>
      </c>
      <c r="L695" t="s">
        <v>19</v>
      </c>
      <c r="M695">
        <v>44.4</v>
      </c>
      <c r="N695">
        <v>2</v>
      </c>
      <c r="O695">
        <v>0.6</v>
      </c>
      <c r="P695">
        <v>-52.17</v>
      </c>
      <c r="Q695" s="1">
        <v>-1.175</v>
      </c>
      <c r="R695" t="s">
        <v>401</v>
      </c>
      <c r="S695" t="s">
        <v>402</v>
      </c>
    </row>
    <row r="696" spans="1:19" x14ac:dyDescent="0.3">
      <c r="A696">
        <v>2254</v>
      </c>
      <c r="B696" t="s">
        <v>1677</v>
      </c>
      <c r="C696">
        <v>2015</v>
      </c>
      <c r="D696" t="s">
        <v>428</v>
      </c>
      <c r="E696" t="s">
        <v>13</v>
      </c>
      <c r="F696" t="s">
        <v>43</v>
      </c>
      <c r="G696" t="s">
        <v>15</v>
      </c>
      <c r="H696" t="s">
        <v>16</v>
      </c>
      <c r="I696" t="s">
        <v>703</v>
      </c>
      <c r="J696" t="s">
        <v>17</v>
      </c>
      <c r="K696" t="s">
        <v>29</v>
      </c>
      <c r="L696" t="s">
        <v>53</v>
      </c>
      <c r="M696">
        <v>43.26</v>
      </c>
      <c r="N696">
        <v>3</v>
      </c>
      <c r="O696">
        <v>0</v>
      </c>
      <c r="P696">
        <v>14.2758</v>
      </c>
      <c r="Q696" s="1">
        <v>0.33</v>
      </c>
      <c r="R696" t="s">
        <v>4</v>
      </c>
      <c r="S696" t="s">
        <v>394</v>
      </c>
    </row>
    <row r="697" spans="1:19" x14ac:dyDescent="0.3">
      <c r="A697">
        <v>2263</v>
      </c>
      <c r="B697" t="s">
        <v>1678</v>
      </c>
      <c r="C697">
        <v>2017</v>
      </c>
      <c r="D697" t="s">
        <v>529</v>
      </c>
      <c r="E697" t="s">
        <v>6</v>
      </c>
      <c r="F697" t="s">
        <v>145</v>
      </c>
      <c r="G697" t="s">
        <v>74</v>
      </c>
      <c r="H697" t="s">
        <v>9</v>
      </c>
      <c r="I697" t="s">
        <v>1375</v>
      </c>
      <c r="J697" t="s">
        <v>10</v>
      </c>
      <c r="K697" t="s">
        <v>11</v>
      </c>
      <c r="L697" t="s">
        <v>53</v>
      </c>
      <c r="M697">
        <v>359.97</v>
      </c>
      <c r="N697">
        <v>3</v>
      </c>
      <c r="O697">
        <v>0</v>
      </c>
      <c r="P697">
        <v>79.193399999999997</v>
      </c>
      <c r="Q697" s="1">
        <v>0.22</v>
      </c>
      <c r="R697" t="s">
        <v>4</v>
      </c>
      <c r="S697" t="s">
        <v>394</v>
      </c>
    </row>
    <row r="698" spans="1:19" x14ac:dyDescent="0.3">
      <c r="A698">
        <v>2264</v>
      </c>
      <c r="B698" t="s">
        <v>1679</v>
      </c>
      <c r="C698">
        <v>2016</v>
      </c>
      <c r="D698" t="s">
        <v>392</v>
      </c>
      <c r="E698" t="s">
        <v>6</v>
      </c>
      <c r="F698" t="s">
        <v>189</v>
      </c>
      <c r="G698" t="s">
        <v>157</v>
      </c>
      <c r="H698" t="s">
        <v>9</v>
      </c>
      <c r="I698" t="s">
        <v>1680</v>
      </c>
      <c r="J698" t="s">
        <v>26</v>
      </c>
      <c r="K698" t="s">
        <v>50</v>
      </c>
      <c r="L698" t="s">
        <v>5</v>
      </c>
      <c r="M698">
        <v>499.98</v>
      </c>
      <c r="N698">
        <v>2</v>
      </c>
      <c r="O698">
        <v>0</v>
      </c>
      <c r="P698">
        <v>114.9954</v>
      </c>
      <c r="Q698" s="1">
        <v>0.23</v>
      </c>
      <c r="R698" t="s">
        <v>4</v>
      </c>
      <c r="S698" t="s">
        <v>394</v>
      </c>
    </row>
    <row r="699" spans="1:19" x14ac:dyDescent="0.3">
      <c r="A699">
        <v>2268</v>
      </c>
      <c r="B699" t="s">
        <v>1681</v>
      </c>
      <c r="C699">
        <v>2017</v>
      </c>
      <c r="D699" t="s">
        <v>428</v>
      </c>
      <c r="E699" t="s">
        <v>6</v>
      </c>
      <c r="F699" t="s">
        <v>33</v>
      </c>
      <c r="G699" t="s">
        <v>34</v>
      </c>
      <c r="H699" t="s">
        <v>16</v>
      </c>
      <c r="I699" t="s">
        <v>1682</v>
      </c>
      <c r="J699" t="s">
        <v>17</v>
      </c>
      <c r="K699" t="s">
        <v>32</v>
      </c>
      <c r="L699" t="s">
        <v>158</v>
      </c>
      <c r="M699">
        <v>12.96</v>
      </c>
      <c r="N699">
        <v>2</v>
      </c>
      <c r="O699">
        <v>0</v>
      </c>
      <c r="P699">
        <v>6.3503999999999996</v>
      </c>
      <c r="Q699" s="1">
        <v>0.49</v>
      </c>
      <c r="R699" t="s">
        <v>4</v>
      </c>
      <c r="S699" t="s">
        <v>394</v>
      </c>
    </row>
    <row r="700" spans="1:19" x14ac:dyDescent="0.3">
      <c r="A700">
        <v>2269</v>
      </c>
      <c r="B700" t="s">
        <v>1683</v>
      </c>
      <c r="C700">
        <v>2017</v>
      </c>
      <c r="D700" t="s">
        <v>410</v>
      </c>
      <c r="E700" t="s">
        <v>13</v>
      </c>
      <c r="F700" t="s">
        <v>83</v>
      </c>
      <c r="G700" t="s">
        <v>67</v>
      </c>
      <c r="H700" t="s">
        <v>48</v>
      </c>
      <c r="I700" t="s">
        <v>1684</v>
      </c>
      <c r="J700" t="s">
        <v>17</v>
      </c>
      <c r="K700" t="s">
        <v>32</v>
      </c>
      <c r="L700" t="s">
        <v>19</v>
      </c>
      <c r="M700">
        <v>6.48</v>
      </c>
      <c r="N700">
        <v>1</v>
      </c>
      <c r="O700">
        <v>0</v>
      </c>
      <c r="P700">
        <v>3.1103999999999998</v>
      </c>
      <c r="Q700" s="1">
        <v>0.48</v>
      </c>
      <c r="R700" t="s">
        <v>4</v>
      </c>
      <c r="S700" t="s">
        <v>394</v>
      </c>
    </row>
    <row r="701" spans="1:19" x14ac:dyDescent="0.3">
      <c r="A701">
        <v>2273</v>
      </c>
      <c r="B701" t="s">
        <v>1685</v>
      </c>
      <c r="C701">
        <v>2015</v>
      </c>
      <c r="D701" t="s">
        <v>447</v>
      </c>
      <c r="E701" t="s">
        <v>6</v>
      </c>
      <c r="F701" t="s">
        <v>43</v>
      </c>
      <c r="G701" t="s">
        <v>15</v>
      </c>
      <c r="H701" t="s">
        <v>16</v>
      </c>
      <c r="I701" t="s">
        <v>1686</v>
      </c>
      <c r="J701" t="s">
        <v>10</v>
      </c>
      <c r="K701" t="s">
        <v>24</v>
      </c>
      <c r="L701" t="s">
        <v>19</v>
      </c>
      <c r="M701">
        <v>435.26</v>
      </c>
      <c r="N701">
        <v>7</v>
      </c>
      <c r="O701">
        <v>0</v>
      </c>
      <c r="P701">
        <v>95.757199999999997</v>
      </c>
      <c r="Q701" s="1">
        <v>0.22</v>
      </c>
      <c r="R701" t="s">
        <v>4</v>
      </c>
      <c r="S701" t="s">
        <v>394</v>
      </c>
    </row>
    <row r="702" spans="1:19" x14ac:dyDescent="0.3">
      <c r="A702">
        <v>2277</v>
      </c>
      <c r="B702" t="s">
        <v>1687</v>
      </c>
      <c r="C702">
        <v>2014</v>
      </c>
      <c r="D702" t="s">
        <v>396</v>
      </c>
      <c r="E702" t="s">
        <v>6</v>
      </c>
      <c r="F702" t="s">
        <v>319</v>
      </c>
      <c r="G702" t="s">
        <v>175</v>
      </c>
      <c r="H702" t="s">
        <v>9</v>
      </c>
      <c r="I702" t="s">
        <v>1192</v>
      </c>
      <c r="J702" t="s">
        <v>17</v>
      </c>
      <c r="K702" t="s">
        <v>23</v>
      </c>
      <c r="L702" t="s">
        <v>19</v>
      </c>
      <c r="M702">
        <v>306.2</v>
      </c>
      <c r="N702">
        <v>5</v>
      </c>
      <c r="O702">
        <v>0</v>
      </c>
      <c r="P702">
        <v>0</v>
      </c>
      <c r="Q702" s="1">
        <v>0</v>
      </c>
      <c r="R702" t="s">
        <v>4</v>
      </c>
      <c r="S702" t="s">
        <v>394</v>
      </c>
    </row>
    <row r="703" spans="1:19" x14ac:dyDescent="0.3">
      <c r="A703">
        <v>2287</v>
      </c>
      <c r="B703" t="s">
        <v>1688</v>
      </c>
      <c r="C703">
        <v>2017</v>
      </c>
      <c r="D703" t="s">
        <v>392</v>
      </c>
      <c r="E703" t="s">
        <v>6</v>
      </c>
      <c r="F703" t="s">
        <v>198</v>
      </c>
      <c r="G703" t="s">
        <v>74</v>
      </c>
      <c r="H703" t="s">
        <v>9</v>
      </c>
      <c r="I703" t="s">
        <v>1689</v>
      </c>
      <c r="J703" t="s">
        <v>17</v>
      </c>
      <c r="K703" t="s">
        <v>29</v>
      </c>
      <c r="L703" t="s">
        <v>19</v>
      </c>
      <c r="M703">
        <v>35.04</v>
      </c>
      <c r="N703">
        <v>2</v>
      </c>
      <c r="O703">
        <v>0</v>
      </c>
      <c r="P703">
        <v>12.263999999999999</v>
      </c>
      <c r="Q703" s="1">
        <v>0.35</v>
      </c>
      <c r="R703" t="s">
        <v>4</v>
      </c>
      <c r="S703" t="s">
        <v>394</v>
      </c>
    </row>
    <row r="704" spans="1:19" x14ac:dyDescent="0.3">
      <c r="A704">
        <v>2288</v>
      </c>
      <c r="B704" t="s">
        <v>1690</v>
      </c>
      <c r="C704">
        <v>2017</v>
      </c>
      <c r="D704" t="s">
        <v>396</v>
      </c>
      <c r="E704" t="s">
        <v>13</v>
      </c>
      <c r="F704" t="s">
        <v>235</v>
      </c>
      <c r="G704" t="s">
        <v>95</v>
      </c>
      <c r="H704" t="s">
        <v>48</v>
      </c>
      <c r="I704" t="s">
        <v>1691</v>
      </c>
      <c r="J704" t="s">
        <v>17</v>
      </c>
      <c r="K704" t="s">
        <v>29</v>
      </c>
      <c r="L704" t="s">
        <v>5</v>
      </c>
      <c r="M704">
        <v>17.48</v>
      </c>
      <c r="N704">
        <v>5</v>
      </c>
      <c r="O704">
        <v>0.2</v>
      </c>
      <c r="P704">
        <v>1.3109999999999999</v>
      </c>
      <c r="Q704" s="1">
        <v>7.4999999999999997E-2</v>
      </c>
      <c r="R704" t="s">
        <v>4</v>
      </c>
      <c r="S704" t="s">
        <v>408</v>
      </c>
    </row>
    <row r="705" spans="1:19" x14ac:dyDescent="0.3">
      <c r="A705">
        <v>2290</v>
      </c>
      <c r="B705" t="s">
        <v>1692</v>
      </c>
      <c r="C705">
        <v>2017</v>
      </c>
      <c r="D705" t="s">
        <v>430</v>
      </c>
      <c r="E705" t="s">
        <v>13</v>
      </c>
      <c r="F705" t="s">
        <v>33</v>
      </c>
      <c r="G705" t="s">
        <v>34</v>
      </c>
      <c r="H705" t="s">
        <v>16</v>
      </c>
      <c r="I705" t="s">
        <v>1693</v>
      </c>
      <c r="J705" t="s">
        <v>10</v>
      </c>
      <c r="K705" t="s">
        <v>22</v>
      </c>
      <c r="L705" t="s">
        <v>53</v>
      </c>
      <c r="M705">
        <v>892.98</v>
      </c>
      <c r="N705">
        <v>2</v>
      </c>
      <c r="O705">
        <v>0</v>
      </c>
      <c r="P705">
        <v>80.368200000000002</v>
      </c>
      <c r="Q705" s="1">
        <v>0.09</v>
      </c>
      <c r="R705" t="s">
        <v>4</v>
      </c>
      <c r="S705" t="s">
        <v>394</v>
      </c>
    </row>
    <row r="706" spans="1:19" x14ac:dyDescent="0.3">
      <c r="A706">
        <v>2291</v>
      </c>
      <c r="B706" t="s">
        <v>1694</v>
      </c>
      <c r="C706">
        <v>2015</v>
      </c>
      <c r="D706" t="s">
        <v>406</v>
      </c>
      <c r="E706" t="s">
        <v>13</v>
      </c>
      <c r="F706" t="s">
        <v>94</v>
      </c>
      <c r="G706" t="s">
        <v>157</v>
      </c>
      <c r="H706" t="s">
        <v>9</v>
      </c>
      <c r="I706" t="s">
        <v>1695</v>
      </c>
      <c r="J706" t="s">
        <v>26</v>
      </c>
      <c r="K706" t="s">
        <v>27</v>
      </c>
      <c r="L706" t="s">
        <v>19</v>
      </c>
      <c r="M706">
        <v>287.97000000000003</v>
      </c>
      <c r="N706">
        <v>3</v>
      </c>
      <c r="O706">
        <v>0</v>
      </c>
      <c r="P706">
        <v>77.751900000000006</v>
      </c>
      <c r="Q706" s="1">
        <v>0.27</v>
      </c>
      <c r="R706" t="s">
        <v>4</v>
      </c>
      <c r="S706" t="s">
        <v>394</v>
      </c>
    </row>
    <row r="707" spans="1:19" x14ac:dyDescent="0.3">
      <c r="A707">
        <v>2307</v>
      </c>
      <c r="B707" t="s">
        <v>1696</v>
      </c>
      <c r="C707">
        <v>2015</v>
      </c>
      <c r="D707" t="s">
        <v>420</v>
      </c>
      <c r="E707" t="s">
        <v>13</v>
      </c>
      <c r="F707" t="s">
        <v>52</v>
      </c>
      <c r="G707" t="s">
        <v>37</v>
      </c>
      <c r="H707" t="s">
        <v>38</v>
      </c>
      <c r="I707" t="s">
        <v>1101</v>
      </c>
      <c r="J707" t="s">
        <v>17</v>
      </c>
      <c r="K707" t="s">
        <v>32</v>
      </c>
      <c r="L707" t="s">
        <v>53</v>
      </c>
      <c r="M707">
        <v>27.216000000000001</v>
      </c>
      <c r="N707">
        <v>3</v>
      </c>
      <c r="O707">
        <v>0.2</v>
      </c>
      <c r="P707">
        <v>9.8658000000000001</v>
      </c>
      <c r="Q707" s="1">
        <v>0.36249999999999999</v>
      </c>
      <c r="R707" t="s">
        <v>4</v>
      </c>
      <c r="S707" t="s">
        <v>408</v>
      </c>
    </row>
    <row r="708" spans="1:19" x14ac:dyDescent="0.3">
      <c r="A708">
        <v>2320</v>
      </c>
      <c r="B708" t="s">
        <v>1697</v>
      </c>
      <c r="C708">
        <v>2015</v>
      </c>
      <c r="D708" t="s">
        <v>410</v>
      </c>
      <c r="E708" t="s">
        <v>6</v>
      </c>
      <c r="F708" t="s">
        <v>172</v>
      </c>
      <c r="G708" t="s">
        <v>74</v>
      </c>
      <c r="H708" t="s">
        <v>9</v>
      </c>
      <c r="I708" t="s">
        <v>872</v>
      </c>
      <c r="J708" t="s">
        <v>17</v>
      </c>
      <c r="K708" t="s">
        <v>29</v>
      </c>
      <c r="L708" t="s">
        <v>53</v>
      </c>
      <c r="M708">
        <v>194.32</v>
      </c>
      <c r="N708">
        <v>4</v>
      </c>
      <c r="O708">
        <v>0</v>
      </c>
      <c r="P708">
        <v>56.352800000000002</v>
      </c>
      <c r="Q708" s="1">
        <v>0.28999999999999998</v>
      </c>
      <c r="R708" t="s">
        <v>4</v>
      </c>
      <c r="S708" t="s">
        <v>394</v>
      </c>
    </row>
    <row r="709" spans="1:19" x14ac:dyDescent="0.3">
      <c r="A709">
        <v>2330</v>
      </c>
      <c r="B709" t="s">
        <v>1698</v>
      </c>
      <c r="C709">
        <v>2015</v>
      </c>
      <c r="D709" t="s">
        <v>410</v>
      </c>
      <c r="E709" t="s">
        <v>13</v>
      </c>
      <c r="F709" t="s">
        <v>46</v>
      </c>
      <c r="G709" t="s">
        <v>47</v>
      </c>
      <c r="H709" t="s">
        <v>48</v>
      </c>
      <c r="I709" t="s">
        <v>1699</v>
      </c>
      <c r="J709" t="s">
        <v>10</v>
      </c>
      <c r="K709" t="s">
        <v>24</v>
      </c>
      <c r="L709" t="s">
        <v>19</v>
      </c>
      <c r="M709">
        <v>547.13599999999997</v>
      </c>
      <c r="N709">
        <v>4</v>
      </c>
      <c r="O709">
        <v>0.2</v>
      </c>
      <c r="P709">
        <v>-68.391999999999996</v>
      </c>
      <c r="Q709" s="1">
        <v>-0.125</v>
      </c>
      <c r="R709" t="s">
        <v>401</v>
      </c>
      <c r="S709" t="s">
        <v>408</v>
      </c>
    </row>
    <row r="710" spans="1:19" x14ac:dyDescent="0.3">
      <c r="A710">
        <v>2333</v>
      </c>
      <c r="B710" t="s">
        <v>1700</v>
      </c>
      <c r="C710">
        <v>2017</v>
      </c>
      <c r="D710" t="s">
        <v>447</v>
      </c>
      <c r="E710" t="s">
        <v>6</v>
      </c>
      <c r="F710" t="s">
        <v>287</v>
      </c>
      <c r="G710" t="s">
        <v>65</v>
      </c>
      <c r="H710" t="s">
        <v>38</v>
      </c>
      <c r="I710" t="s">
        <v>920</v>
      </c>
      <c r="J710" t="s">
        <v>17</v>
      </c>
      <c r="K710" t="s">
        <v>32</v>
      </c>
      <c r="L710" t="s">
        <v>19</v>
      </c>
      <c r="M710">
        <v>277.39999999999998</v>
      </c>
      <c r="N710">
        <v>5</v>
      </c>
      <c r="O710">
        <v>0</v>
      </c>
      <c r="P710">
        <v>133.15199999999999</v>
      </c>
      <c r="Q710" s="1">
        <v>0.48</v>
      </c>
      <c r="R710" t="s">
        <v>4</v>
      </c>
      <c r="S710" t="s">
        <v>394</v>
      </c>
    </row>
    <row r="711" spans="1:19" x14ac:dyDescent="0.3">
      <c r="A711">
        <v>2338</v>
      </c>
      <c r="B711" t="s">
        <v>1701</v>
      </c>
      <c r="C711">
        <v>2014</v>
      </c>
      <c r="D711" t="s">
        <v>420</v>
      </c>
      <c r="E711" t="s">
        <v>6</v>
      </c>
      <c r="F711" t="s">
        <v>66</v>
      </c>
      <c r="G711" t="s">
        <v>67</v>
      </c>
      <c r="H711" t="s">
        <v>48</v>
      </c>
      <c r="I711" t="s">
        <v>1702</v>
      </c>
      <c r="J711" t="s">
        <v>17</v>
      </c>
      <c r="K711" t="s">
        <v>32</v>
      </c>
      <c r="L711" t="s">
        <v>158</v>
      </c>
      <c r="M711">
        <v>25.92</v>
      </c>
      <c r="N711">
        <v>4</v>
      </c>
      <c r="O711">
        <v>0</v>
      </c>
      <c r="P711">
        <v>12.441599999999999</v>
      </c>
      <c r="Q711" s="1">
        <v>0.48</v>
      </c>
      <c r="R711" t="s">
        <v>4</v>
      </c>
      <c r="S711" t="s">
        <v>394</v>
      </c>
    </row>
    <row r="712" spans="1:19" x14ac:dyDescent="0.3">
      <c r="A712">
        <v>2340</v>
      </c>
      <c r="B712" t="s">
        <v>1703</v>
      </c>
      <c r="C712">
        <v>2014</v>
      </c>
      <c r="D712" t="s">
        <v>420</v>
      </c>
      <c r="E712" t="s">
        <v>6</v>
      </c>
      <c r="F712" t="s">
        <v>94</v>
      </c>
      <c r="G712" t="s">
        <v>95</v>
      </c>
      <c r="H712" t="s">
        <v>48</v>
      </c>
      <c r="I712" t="s">
        <v>490</v>
      </c>
      <c r="J712" t="s">
        <v>17</v>
      </c>
      <c r="K712" t="s">
        <v>25</v>
      </c>
      <c r="L712" t="s">
        <v>19</v>
      </c>
      <c r="M712">
        <v>10.72</v>
      </c>
      <c r="N712">
        <v>2</v>
      </c>
      <c r="O712">
        <v>0.2</v>
      </c>
      <c r="P712">
        <v>1.742</v>
      </c>
      <c r="Q712" s="1">
        <v>0.16250000000000001</v>
      </c>
      <c r="R712" t="s">
        <v>4</v>
      </c>
      <c r="S712" t="s">
        <v>408</v>
      </c>
    </row>
    <row r="713" spans="1:19" x14ac:dyDescent="0.3">
      <c r="A713">
        <v>2344</v>
      </c>
      <c r="B713" t="s">
        <v>1704</v>
      </c>
      <c r="C713">
        <v>2014</v>
      </c>
      <c r="D713" t="s">
        <v>425</v>
      </c>
      <c r="E713" t="s">
        <v>6</v>
      </c>
      <c r="F713" t="s">
        <v>70</v>
      </c>
      <c r="G713" t="s">
        <v>56</v>
      </c>
      <c r="H713" t="s">
        <v>38</v>
      </c>
      <c r="I713" t="s">
        <v>1324</v>
      </c>
      <c r="J713" t="s">
        <v>17</v>
      </c>
      <c r="K713" t="s">
        <v>23</v>
      </c>
      <c r="L713" t="s">
        <v>5</v>
      </c>
      <c r="M713">
        <v>123.55200000000001</v>
      </c>
      <c r="N713">
        <v>3</v>
      </c>
      <c r="O713">
        <v>0.2</v>
      </c>
      <c r="P713">
        <v>-29.343599999999999</v>
      </c>
      <c r="Q713" s="1">
        <v>-0.23749999999999999</v>
      </c>
      <c r="R713" t="s">
        <v>401</v>
      </c>
      <c r="S713" t="s">
        <v>408</v>
      </c>
    </row>
    <row r="714" spans="1:19" x14ac:dyDescent="0.3">
      <c r="A714">
        <v>2345</v>
      </c>
      <c r="B714" t="s">
        <v>1705</v>
      </c>
      <c r="C714">
        <v>2016</v>
      </c>
      <c r="D714" t="s">
        <v>529</v>
      </c>
      <c r="E714" t="s">
        <v>35</v>
      </c>
      <c r="F714" t="s">
        <v>225</v>
      </c>
      <c r="G714" t="s">
        <v>40</v>
      </c>
      <c r="H714" t="s">
        <v>38</v>
      </c>
      <c r="I714" t="s">
        <v>1706</v>
      </c>
      <c r="J714" t="s">
        <v>17</v>
      </c>
      <c r="K714" t="s">
        <v>29</v>
      </c>
      <c r="L714" t="s">
        <v>19</v>
      </c>
      <c r="M714">
        <v>490.32</v>
      </c>
      <c r="N714">
        <v>9</v>
      </c>
      <c r="O714">
        <v>0</v>
      </c>
      <c r="P714">
        <v>137.28960000000001</v>
      </c>
      <c r="Q714" s="1">
        <v>0.28000000000000003</v>
      </c>
      <c r="R714" t="s">
        <v>4</v>
      </c>
      <c r="S714" t="s">
        <v>394</v>
      </c>
    </row>
    <row r="715" spans="1:19" x14ac:dyDescent="0.3">
      <c r="A715">
        <v>2369</v>
      </c>
      <c r="B715" t="s">
        <v>1707</v>
      </c>
      <c r="C715">
        <v>2016</v>
      </c>
      <c r="D715" t="s">
        <v>428</v>
      </c>
      <c r="E715" t="s">
        <v>13</v>
      </c>
      <c r="F715" t="s">
        <v>117</v>
      </c>
      <c r="G715" t="s">
        <v>95</v>
      </c>
      <c r="H715" t="s">
        <v>48</v>
      </c>
      <c r="I715" t="s">
        <v>1708</v>
      </c>
      <c r="J715" t="s">
        <v>10</v>
      </c>
      <c r="K715" t="s">
        <v>24</v>
      </c>
      <c r="L715" t="s">
        <v>19</v>
      </c>
      <c r="M715">
        <v>532.70399999999995</v>
      </c>
      <c r="N715">
        <v>6</v>
      </c>
      <c r="O715">
        <v>0.2</v>
      </c>
      <c r="P715">
        <v>-26.635200000000001</v>
      </c>
      <c r="Q715" s="1">
        <v>-0.05</v>
      </c>
      <c r="R715" t="s">
        <v>401</v>
      </c>
      <c r="S715" t="s">
        <v>408</v>
      </c>
    </row>
    <row r="716" spans="1:19" x14ac:dyDescent="0.3">
      <c r="A716">
        <v>2376</v>
      </c>
      <c r="B716" t="s">
        <v>1709</v>
      </c>
      <c r="C716">
        <v>2017</v>
      </c>
      <c r="D716" t="s">
        <v>430</v>
      </c>
      <c r="E716" t="s">
        <v>6</v>
      </c>
      <c r="F716" t="s">
        <v>269</v>
      </c>
      <c r="G716" t="s">
        <v>157</v>
      </c>
      <c r="H716" t="s">
        <v>9</v>
      </c>
      <c r="I716" t="s">
        <v>1710</v>
      </c>
      <c r="J716" t="s">
        <v>17</v>
      </c>
      <c r="K716" t="s">
        <v>68</v>
      </c>
      <c r="L716" t="s">
        <v>19</v>
      </c>
      <c r="M716">
        <v>5.67</v>
      </c>
      <c r="N716">
        <v>3</v>
      </c>
      <c r="O716">
        <v>0</v>
      </c>
      <c r="P716">
        <v>0.1134</v>
      </c>
      <c r="Q716" s="1">
        <v>0.02</v>
      </c>
      <c r="R716" t="s">
        <v>4</v>
      </c>
      <c r="S716" t="s">
        <v>394</v>
      </c>
    </row>
    <row r="717" spans="1:19" x14ac:dyDescent="0.3">
      <c r="A717">
        <v>2380</v>
      </c>
      <c r="B717" t="s">
        <v>1711</v>
      </c>
      <c r="C717">
        <v>2016</v>
      </c>
      <c r="D717" t="s">
        <v>417</v>
      </c>
      <c r="E717" t="s">
        <v>35</v>
      </c>
      <c r="F717" t="s">
        <v>227</v>
      </c>
      <c r="G717" t="s">
        <v>95</v>
      </c>
      <c r="H717" t="s">
        <v>48</v>
      </c>
      <c r="I717" t="s">
        <v>835</v>
      </c>
      <c r="J717" t="s">
        <v>17</v>
      </c>
      <c r="K717" t="s">
        <v>68</v>
      </c>
      <c r="L717" t="s">
        <v>19</v>
      </c>
      <c r="M717">
        <v>7.2160000000000002</v>
      </c>
      <c r="N717">
        <v>2</v>
      </c>
      <c r="O717">
        <v>0.2</v>
      </c>
      <c r="P717">
        <v>1.7138</v>
      </c>
      <c r="Q717" s="1">
        <v>0.23749999999999999</v>
      </c>
      <c r="R717" t="s">
        <v>4</v>
      </c>
      <c r="S717" t="s">
        <v>408</v>
      </c>
    </row>
    <row r="718" spans="1:19" x14ac:dyDescent="0.3">
      <c r="A718">
        <v>2394</v>
      </c>
      <c r="B718" t="s">
        <v>1712</v>
      </c>
      <c r="C718">
        <v>2016</v>
      </c>
      <c r="D718" t="s">
        <v>447</v>
      </c>
      <c r="E718" t="s">
        <v>6</v>
      </c>
      <c r="F718" t="s">
        <v>324</v>
      </c>
      <c r="G718" t="s">
        <v>156</v>
      </c>
      <c r="H718" t="s">
        <v>48</v>
      </c>
      <c r="I718" t="s">
        <v>755</v>
      </c>
      <c r="J718" t="s">
        <v>17</v>
      </c>
      <c r="K718" t="s">
        <v>25</v>
      </c>
      <c r="L718" t="s">
        <v>19</v>
      </c>
      <c r="M718">
        <v>39.68</v>
      </c>
      <c r="N718">
        <v>2</v>
      </c>
      <c r="O718">
        <v>0</v>
      </c>
      <c r="P718">
        <v>10.316800000000001</v>
      </c>
      <c r="Q718" s="1">
        <v>0.26</v>
      </c>
      <c r="R718" t="s">
        <v>4</v>
      </c>
      <c r="S718" t="s">
        <v>394</v>
      </c>
    </row>
    <row r="719" spans="1:19" x14ac:dyDescent="0.3">
      <c r="A719">
        <v>2395</v>
      </c>
      <c r="B719" t="s">
        <v>1713</v>
      </c>
      <c r="C719">
        <v>2015</v>
      </c>
      <c r="D719" t="s">
        <v>392</v>
      </c>
      <c r="E719" t="s">
        <v>13</v>
      </c>
      <c r="F719" t="s">
        <v>66</v>
      </c>
      <c r="G719" t="s">
        <v>67</v>
      </c>
      <c r="H719" t="s">
        <v>48</v>
      </c>
      <c r="I719" t="s">
        <v>1714</v>
      </c>
      <c r="J719" t="s">
        <v>26</v>
      </c>
      <c r="K719" t="s">
        <v>50</v>
      </c>
      <c r="L719" t="s">
        <v>19</v>
      </c>
      <c r="M719">
        <v>37.6</v>
      </c>
      <c r="N719">
        <v>2</v>
      </c>
      <c r="O719">
        <v>0</v>
      </c>
      <c r="P719">
        <v>2.2559999999999998</v>
      </c>
      <c r="Q719" s="1">
        <v>0.06</v>
      </c>
      <c r="R719" t="s">
        <v>4</v>
      </c>
      <c r="S719" t="s">
        <v>394</v>
      </c>
    </row>
    <row r="720" spans="1:19" x14ac:dyDescent="0.3">
      <c r="A720">
        <v>2398</v>
      </c>
      <c r="B720" t="s">
        <v>1715</v>
      </c>
      <c r="C720">
        <v>2017</v>
      </c>
      <c r="D720" t="s">
        <v>420</v>
      </c>
      <c r="E720" t="s">
        <v>6</v>
      </c>
      <c r="F720" t="s">
        <v>43</v>
      </c>
      <c r="G720" t="s">
        <v>15</v>
      </c>
      <c r="H720" t="s">
        <v>16</v>
      </c>
      <c r="I720" t="s">
        <v>1091</v>
      </c>
      <c r="J720" t="s">
        <v>17</v>
      </c>
      <c r="K720" t="s">
        <v>18</v>
      </c>
      <c r="L720" t="s">
        <v>5</v>
      </c>
      <c r="M720">
        <v>5.76</v>
      </c>
      <c r="N720">
        <v>2</v>
      </c>
      <c r="O720">
        <v>0</v>
      </c>
      <c r="P720">
        <v>2.8224</v>
      </c>
      <c r="Q720" s="1">
        <v>0.49</v>
      </c>
      <c r="R720" t="s">
        <v>4</v>
      </c>
      <c r="S720" t="s">
        <v>394</v>
      </c>
    </row>
    <row r="721" spans="1:19" x14ac:dyDescent="0.3">
      <c r="A721">
        <v>2402</v>
      </c>
      <c r="B721" t="s">
        <v>1716</v>
      </c>
      <c r="C721">
        <v>2017</v>
      </c>
      <c r="D721" t="s">
        <v>406</v>
      </c>
      <c r="E721" t="s">
        <v>6</v>
      </c>
      <c r="F721" t="s">
        <v>73</v>
      </c>
      <c r="G721" t="s">
        <v>103</v>
      </c>
      <c r="H721" t="s">
        <v>38</v>
      </c>
      <c r="I721" t="s">
        <v>1281</v>
      </c>
      <c r="J721" t="s">
        <v>17</v>
      </c>
      <c r="K721" t="s">
        <v>23</v>
      </c>
      <c r="L721" t="s">
        <v>5</v>
      </c>
      <c r="M721">
        <v>94.2</v>
      </c>
      <c r="N721">
        <v>6</v>
      </c>
      <c r="O721">
        <v>0</v>
      </c>
      <c r="P721">
        <v>23.55</v>
      </c>
      <c r="Q721" s="1">
        <v>0.25</v>
      </c>
      <c r="R721" t="s">
        <v>4</v>
      </c>
      <c r="S721" t="s">
        <v>394</v>
      </c>
    </row>
    <row r="722" spans="1:19" x14ac:dyDescent="0.3">
      <c r="A722">
        <v>2404</v>
      </c>
      <c r="B722" t="s">
        <v>1717</v>
      </c>
      <c r="C722">
        <v>2016</v>
      </c>
      <c r="D722" t="s">
        <v>428</v>
      </c>
      <c r="E722" t="s">
        <v>13</v>
      </c>
      <c r="F722" t="s">
        <v>184</v>
      </c>
      <c r="G722" t="s">
        <v>37</v>
      </c>
      <c r="H722" t="s">
        <v>38</v>
      </c>
      <c r="I722" t="s">
        <v>1718</v>
      </c>
      <c r="J722" t="s">
        <v>10</v>
      </c>
      <c r="K722" t="s">
        <v>11</v>
      </c>
      <c r="L722" t="s">
        <v>19</v>
      </c>
      <c r="M722">
        <v>956.66480000000001</v>
      </c>
      <c r="N722">
        <v>7</v>
      </c>
      <c r="O722">
        <v>0.32</v>
      </c>
      <c r="P722">
        <v>-225.0976</v>
      </c>
      <c r="Q722" s="1">
        <v>-0.23529411764705899</v>
      </c>
      <c r="R722" t="s">
        <v>401</v>
      </c>
      <c r="S722" t="s">
        <v>402</v>
      </c>
    </row>
    <row r="723" spans="1:19" x14ac:dyDescent="0.3">
      <c r="A723">
        <v>2410</v>
      </c>
      <c r="B723" t="s">
        <v>1719</v>
      </c>
      <c r="C723">
        <v>2017</v>
      </c>
      <c r="D723" t="s">
        <v>447</v>
      </c>
      <c r="E723" t="s">
        <v>35</v>
      </c>
      <c r="F723" t="s">
        <v>43</v>
      </c>
      <c r="G723" t="s">
        <v>15</v>
      </c>
      <c r="H723" t="s">
        <v>16</v>
      </c>
      <c r="I723" t="s">
        <v>1720</v>
      </c>
      <c r="J723" t="s">
        <v>10</v>
      </c>
      <c r="K723" t="s">
        <v>24</v>
      </c>
      <c r="L723" t="s">
        <v>53</v>
      </c>
      <c r="M723">
        <v>211.84</v>
      </c>
      <c r="N723">
        <v>8</v>
      </c>
      <c r="O723">
        <v>0</v>
      </c>
      <c r="P723">
        <v>76.2624</v>
      </c>
      <c r="Q723" s="1">
        <v>0.36</v>
      </c>
      <c r="R723" t="s">
        <v>4</v>
      </c>
      <c r="S723" t="s">
        <v>394</v>
      </c>
    </row>
    <row r="724" spans="1:19" x14ac:dyDescent="0.3">
      <c r="A724">
        <v>2412</v>
      </c>
      <c r="B724" t="s">
        <v>1721</v>
      </c>
      <c r="C724">
        <v>2015</v>
      </c>
      <c r="D724" t="s">
        <v>396</v>
      </c>
      <c r="E724" t="s">
        <v>13</v>
      </c>
      <c r="F724" t="s">
        <v>14</v>
      </c>
      <c r="G724" t="s">
        <v>15</v>
      </c>
      <c r="H724" t="s">
        <v>16</v>
      </c>
      <c r="I724" t="s">
        <v>1583</v>
      </c>
      <c r="J724" t="s">
        <v>17</v>
      </c>
      <c r="K724" t="s">
        <v>28</v>
      </c>
      <c r="L724" t="s">
        <v>5</v>
      </c>
      <c r="M724">
        <v>7.52</v>
      </c>
      <c r="N724">
        <v>5</v>
      </c>
      <c r="O724">
        <v>0.2</v>
      </c>
      <c r="P724">
        <v>2.6320000000000001</v>
      </c>
      <c r="Q724" s="1">
        <v>0.35</v>
      </c>
      <c r="R724" t="s">
        <v>4</v>
      </c>
      <c r="S724" t="s">
        <v>408</v>
      </c>
    </row>
    <row r="725" spans="1:19" x14ac:dyDescent="0.3">
      <c r="A725">
        <v>2415</v>
      </c>
      <c r="B725" t="s">
        <v>1722</v>
      </c>
      <c r="C725">
        <v>2016</v>
      </c>
      <c r="D725" t="s">
        <v>410</v>
      </c>
      <c r="E725" t="s">
        <v>6</v>
      </c>
      <c r="F725" t="s">
        <v>225</v>
      </c>
      <c r="G725" t="s">
        <v>40</v>
      </c>
      <c r="H725" t="s">
        <v>38</v>
      </c>
      <c r="I725" t="s">
        <v>1723</v>
      </c>
      <c r="J725" t="s">
        <v>10</v>
      </c>
      <c r="K725" t="s">
        <v>12</v>
      </c>
      <c r="L725" t="s">
        <v>19</v>
      </c>
      <c r="M725">
        <v>754.45</v>
      </c>
      <c r="N725">
        <v>5</v>
      </c>
      <c r="O725">
        <v>0</v>
      </c>
      <c r="P725">
        <v>60.356000000000002</v>
      </c>
      <c r="Q725" s="1">
        <v>0.08</v>
      </c>
      <c r="R725" t="s">
        <v>4</v>
      </c>
      <c r="S725" t="s">
        <v>394</v>
      </c>
    </row>
    <row r="726" spans="1:19" x14ac:dyDescent="0.3">
      <c r="A726">
        <v>2422</v>
      </c>
      <c r="B726" t="s">
        <v>1724</v>
      </c>
      <c r="C726">
        <v>2016</v>
      </c>
      <c r="D726" t="s">
        <v>406</v>
      </c>
      <c r="E726" t="s">
        <v>35</v>
      </c>
      <c r="F726" t="s">
        <v>325</v>
      </c>
      <c r="G726" t="s">
        <v>56</v>
      </c>
      <c r="H726" t="s">
        <v>38</v>
      </c>
      <c r="I726" t="s">
        <v>482</v>
      </c>
      <c r="J726" t="s">
        <v>17</v>
      </c>
      <c r="K726" t="s">
        <v>23</v>
      </c>
      <c r="L726" t="s">
        <v>19</v>
      </c>
      <c r="M726">
        <v>230.376</v>
      </c>
      <c r="N726">
        <v>3</v>
      </c>
      <c r="O726">
        <v>0.2</v>
      </c>
      <c r="P726">
        <v>-48.954900000000002</v>
      </c>
      <c r="Q726" s="1">
        <v>-0.21249999999999999</v>
      </c>
      <c r="R726" t="s">
        <v>401</v>
      </c>
      <c r="S726" t="s">
        <v>408</v>
      </c>
    </row>
    <row r="727" spans="1:19" x14ac:dyDescent="0.3">
      <c r="A727">
        <v>2428</v>
      </c>
      <c r="B727" t="s">
        <v>1725</v>
      </c>
      <c r="C727">
        <v>2016</v>
      </c>
      <c r="D727" t="s">
        <v>396</v>
      </c>
      <c r="E727" t="s">
        <v>13</v>
      </c>
      <c r="F727" t="s">
        <v>145</v>
      </c>
      <c r="G727" t="s">
        <v>37</v>
      </c>
      <c r="H727" t="s">
        <v>38</v>
      </c>
      <c r="I727" t="s">
        <v>1726</v>
      </c>
      <c r="J727" t="s">
        <v>17</v>
      </c>
      <c r="K727" t="s">
        <v>28</v>
      </c>
      <c r="L727" t="s">
        <v>19</v>
      </c>
      <c r="M727">
        <v>1.3440000000000001</v>
      </c>
      <c r="N727">
        <v>4</v>
      </c>
      <c r="O727">
        <v>0.8</v>
      </c>
      <c r="P727">
        <v>-2.1503999999999999</v>
      </c>
      <c r="Q727" s="1">
        <v>-1.6</v>
      </c>
      <c r="R727" t="s">
        <v>401</v>
      </c>
      <c r="S727" t="s">
        <v>402</v>
      </c>
    </row>
    <row r="728" spans="1:19" x14ac:dyDescent="0.3">
      <c r="A728">
        <v>2431</v>
      </c>
      <c r="B728" t="s">
        <v>1727</v>
      </c>
      <c r="C728">
        <v>2017</v>
      </c>
      <c r="D728" t="s">
        <v>417</v>
      </c>
      <c r="E728" t="s">
        <v>35</v>
      </c>
      <c r="F728" t="s">
        <v>43</v>
      </c>
      <c r="G728" t="s">
        <v>15</v>
      </c>
      <c r="H728" t="s">
        <v>16</v>
      </c>
      <c r="I728" t="s">
        <v>397</v>
      </c>
      <c r="J728" t="s">
        <v>17</v>
      </c>
      <c r="K728" t="s">
        <v>18</v>
      </c>
      <c r="L728" t="s">
        <v>19</v>
      </c>
      <c r="M728">
        <v>58.48</v>
      </c>
      <c r="N728">
        <v>8</v>
      </c>
      <c r="O728">
        <v>0</v>
      </c>
      <c r="P728">
        <v>27.485600000000002</v>
      </c>
      <c r="Q728" s="1">
        <v>0.47</v>
      </c>
      <c r="R728" t="s">
        <v>4</v>
      </c>
      <c r="S728" t="s">
        <v>394</v>
      </c>
    </row>
    <row r="729" spans="1:19" x14ac:dyDescent="0.3">
      <c r="A729">
        <v>2433</v>
      </c>
      <c r="B729" t="s">
        <v>1728</v>
      </c>
      <c r="C729">
        <v>2014</v>
      </c>
      <c r="D729" t="s">
        <v>447</v>
      </c>
      <c r="E729" t="s">
        <v>6</v>
      </c>
      <c r="F729" t="s">
        <v>66</v>
      </c>
      <c r="G729" t="s">
        <v>67</v>
      </c>
      <c r="H729" t="s">
        <v>48</v>
      </c>
      <c r="I729" t="s">
        <v>1729</v>
      </c>
      <c r="J729" t="s">
        <v>10</v>
      </c>
      <c r="K729" t="s">
        <v>12</v>
      </c>
      <c r="L729" t="s">
        <v>19</v>
      </c>
      <c r="M729">
        <v>366.786</v>
      </c>
      <c r="N729">
        <v>7</v>
      </c>
      <c r="O729">
        <v>0.1</v>
      </c>
      <c r="P729">
        <v>65.206400000000002</v>
      </c>
      <c r="Q729" s="1">
        <v>0.17777777777777801</v>
      </c>
      <c r="R729" t="s">
        <v>4</v>
      </c>
      <c r="S729" t="s">
        <v>394</v>
      </c>
    </row>
    <row r="730" spans="1:19" x14ac:dyDescent="0.3">
      <c r="A730">
        <v>2438</v>
      </c>
      <c r="B730" t="s">
        <v>1730</v>
      </c>
      <c r="C730">
        <v>2014</v>
      </c>
      <c r="D730" t="s">
        <v>392</v>
      </c>
      <c r="E730" t="s">
        <v>6</v>
      </c>
      <c r="F730" t="s">
        <v>173</v>
      </c>
      <c r="G730" t="s">
        <v>89</v>
      </c>
      <c r="H730" t="s">
        <v>16</v>
      </c>
      <c r="I730" t="s">
        <v>1731</v>
      </c>
      <c r="J730" t="s">
        <v>10</v>
      </c>
      <c r="K730" t="s">
        <v>22</v>
      </c>
      <c r="L730" t="s">
        <v>5</v>
      </c>
      <c r="M730">
        <v>145.97999999999999</v>
      </c>
      <c r="N730">
        <v>2</v>
      </c>
      <c r="O730">
        <v>0.5</v>
      </c>
      <c r="P730">
        <v>-99.266400000000004</v>
      </c>
      <c r="Q730" s="1">
        <v>-0.68</v>
      </c>
      <c r="R730" t="s">
        <v>401</v>
      </c>
      <c r="S730" t="s">
        <v>402</v>
      </c>
    </row>
    <row r="731" spans="1:19" x14ac:dyDescent="0.3">
      <c r="A731">
        <v>2440</v>
      </c>
      <c r="B731" t="s">
        <v>1732</v>
      </c>
      <c r="C731">
        <v>2017</v>
      </c>
      <c r="D731" t="s">
        <v>425</v>
      </c>
      <c r="E731" t="s">
        <v>6</v>
      </c>
      <c r="F731" t="s">
        <v>131</v>
      </c>
      <c r="G731" t="s">
        <v>21</v>
      </c>
      <c r="H731" t="s">
        <v>9</v>
      </c>
      <c r="I731" t="s">
        <v>1733</v>
      </c>
      <c r="J731" t="s">
        <v>10</v>
      </c>
      <c r="K731" t="s">
        <v>24</v>
      </c>
      <c r="L731" t="s">
        <v>19</v>
      </c>
      <c r="M731">
        <v>7.9039999999999999</v>
      </c>
      <c r="N731">
        <v>2</v>
      </c>
      <c r="O731">
        <v>0.2</v>
      </c>
      <c r="P731">
        <v>2.1736</v>
      </c>
      <c r="Q731" s="1">
        <v>0.27500000000000002</v>
      </c>
      <c r="R731" t="s">
        <v>4</v>
      </c>
      <c r="S731" t="s">
        <v>408</v>
      </c>
    </row>
    <row r="732" spans="1:19" x14ac:dyDescent="0.3">
      <c r="A732">
        <v>2441</v>
      </c>
      <c r="B732" t="s">
        <v>1734</v>
      </c>
      <c r="C732">
        <v>2016</v>
      </c>
      <c r="D732" t="s">
        <v>417</v>
      </c>
      <c r="E732" t="s">
        <v>6</v>
      </c>
      <c r="F732" t="s">
        <v>326</v>
      </c>
      <c r="G732" t="s">
        <v>123</v>
      </c>
      <c r="H732" t="s">
        <v>48</v>
      </c>
      <c r="I732" t="s">
        <v>670</v>
      </c>
      <c r="J732" t="s">
        <v>26</v>
      </c>
      <c r="K732" t="s">
        <v>27</v>
      </c>
      <c r="L732" t="s">
        <v>19</v>
      </c>
      <c r="M732">
        <v>345</v>
      </c>
      <c r="N732">
        <v>5</v>
      </c>
      <c r="O732">
        <v>0</v>
      </c>
      <c r="P732">
        <v>86.25</v>
      </c>
      <c r="Q732" s="1">
        <v>0.25</v>
      </c>
      <c r="R732" t="s">
        <v>4</v>
      </c>
      <c r="S732" t="s">
        <v>394</v>
      </c>
    </row>
    <row r="733" spans="1:19" x14ac:dyDescent="0.3">
      <c r="A733">
        <v>2448</v>
      </c>
      <c r="B733" t="s">
        <v>1735</v>
      </c>
      <c r="C733">
        <v>2016</v>
      </c>
      <c r="D733" t="s">
        <v>399</v>
      </c>
      <c r="E733" t="s">
        <v>6</v>
      </c>
      <c r="F733" t="s">
        <v>46</v>
      </c>
      <c r="G733" t="s">
        <v>47</v>
      </c>
      <c r="H733" t="s">
        <v>48</v>
      </c>
      <c r="I733" t="s">
        <v>1736</v>
      </c>
      <c r="J733" t="s">
        <v>10</v>
      </c>
      <c r="K733" t="s">
        <v>12</v>
      </c>
      <c r="L733" t="s">
        <v>19</v>
      </c>
      <c r="M733">
        <v>492.83499999999998</v>
      </c>
      <c r="N733">
        <v>5</v>
      </c>
      <c r="O733">
        <v>0.3</v>
      </c>
      <c r="P733">
        <v>-14.081</v>
      </c>
      <c r="Q733" s="1">
        <v>-2.8571428571428598E-2</v>
      </c>
      <c r="R733" t="s">
        <v>401</v>
      </c>
      <c r="S733" t="s">
        <v>402</v>
      </c>
    </row>
    <row r="734" spans="1:19" x14ac:dyDescent="0.3">
      <c r="A734">
        <v>2450</v>
      </c>
      <c r="B734" t="s">
        <v>1737</v>
      </c>
      <c r="C734">
        <v>2016</v>
      </c>
      <c r="D734" t="s">
        <v>392</v>
      </c>
      <c r="E734" t="s">
        <v>35</v>
      </c>
      <c r="F734" t="s">
        <v>108</v>
      </c>
      <c r="G734" t="s">
        <v>15</v>
      </c>
      <c r="H734" t="s">
        <v>16</v>
      </c>
      <c r="I734" t="s">
        <v>1738</v>
      </c>
      <c r="J734" t="s">
        <v>17</v>
      </c>
      <c r="K734" t="s">
        <v>28</v>
      </c>
      <c r="L734" t="s">
        <v>19</v>
      </c>
      <c r="M734">
        <v>29.12</v>
      </c>
      <c r="N734">
        <v>5</v>
      </c>
      <c r="O734">
        <v>0.2</v>
      </c>
      <c r="P734">
        <v>9.8279999999999994</v>
      </c>
      <c r="Q734" s="1">
        <v>0.33750000000000002</v>
      </c>
      <c r="R734" t="s">
        <v>4</v>
      </c>
      <c r="S734" t="s">
        <v>408</v>
      </c>
    </row>
    <row r="735" spans="1:19" x14ac:dyDescent="0.3">
      <c r="A735">
        <v>2460</v>
      </c>
      <c r="B735" t="s">
        <v>1739</v>
      </c>
      <c r="C735">
        <v>2017</v>
      </c>
      <c r="D735" t="s">
        <v>420</v>
      </c>
      <c r="E735" t="s">
        <v>6</v>
      </c>
      <c r="F735" t="s">
        <v>205</v>
      </c>
      <c r="G735" t="s">
        <v>123</v>
      </c>
      <c r="H735" t="s">
        <v>48</v>
      </c>
      <c r="I735" t="s">
        <v>1740</v>
      </c>
      <c r="J735" t="s">
        <v>17</v>
      </c>
      <c r="K735" t="s">
        <v>29</v>
      </c>
      <c r="L735" t="s">
        <v>19</v>
      </c>
      <c r="M735">
        <v>97.84</v>
      </c>
      <c r="N735">
        <v>2</v>
      </c>
      <c r="O735">
        <v>0</v>
      </c>
      <c r="P735">
        <v>25.438400000000001</v>
      </c>
      <c r="Q735" s="1">
        <v>0.26</v>
      </c>
      <c r="R735" t="s">
        <v>4</v>
      </c>
      <c r="S735" t="s">
        <v>394</v>
      </c>
    </row>
    <row r="736" spans="1:19" x14ac:dyDescent="0.3">
      <c r="A736">
        <v>2463</v>
      </c>
      <c r="B736" t="s">
        <v>1741</v>
      </c>
      <c r="C736">
        <v>2017</v>
      </c>
      <c r="D736" t="s">
        <v>410</v>
      </c>
      <c r="E736" t="s">
        <v>6</v>
      </c>
      <c r="F736" t="s">
        <v>66</v>
      </c>
      <c r="G736" t="s">
        <v>67</v>
      </c>
      <c r="H736" t="s">
        <v>48</v>
      </c>
      <c r="I736" t="s">
        <v>1157</v>
      </c>
      <c r="J736" t="s">
        <v>17</v>
      </c>
      <c r="K736" t="s">
        <v>28</v>
      </c>
      <c r="L736" t="s">
        <v>19</v>
      </c>
      <c r="M736">
        <v>83.92</v>
      </c>
      <c r="N736">
        <v>5</v>
      </c>
      <c r="O736">
        <v>0.2</v>
      </c>
      <c r="P736">
        <v>29.372</v>
      </c>
      <c r="Q736" s="1">
        <v>0.35</v>
      </c>
      <c r="R736" t="s">
        <v>4</v>
      </c>
      <c r="S736" t="s">
        <v>408</v>
      </c>
    </row>
    <row r="737" spans="1:19" x14ac:dyDescent="0.3">
      <c r="A737">
        <v>2483</v>
      </c>
      <c r="B737" t="s">
        <v>1742</v>
      </c>
      <c r="C737">
        <v>2017</v>
      </c>
      <c r="D737" t="s">
        <v>420</v>
      </c>
      <c r="E737" t="s">
        <v>35</v>
      </c>
      <c r="F737" t="s">
        <v>33</v>
      </c>
      <c r="G737" t="s">
        <v>34</v>
      </c>
      <c r="H737" t="s">
        <v>16</v>
      </c>
      <c r="I737" t="s">
        <v>1743</v>
      </c>
      <c r="J737" t="s">
        <v>26</v>
      </c>
      <c r="K737" t="s">
        <v>27</v>
      </c>
      <c r="L737" t="s">
        <v>19</v>
      </c>
      <c r="M737">
        <v>35.167999999999999</v>
      </c>
      <c r="N737">
        <v>4</v>
      </c>
      <c r="O737">
        <v>0.2</v>
      </c>
      <c r="P737">
        <v>11.429600000000001</v>
      </c>
      <c r="Q737" s="1">
        <v>0.32500000000000001</v>
      </c>
      <c r="R737" t="s">
        <v>4</v>
      </c>
      <c r="S737" t="s">
        <v>408</v>
      </c>
    </row>
    <row r="738" spans="1:19" x14ac:dyDescent="0.3">
      <c r="A738">
        <v>2492</v>
      </c>
      <c r="B738" t="s">
        <v>1744</v>
      </c>
      <c r="C738">
        <v>2014</v>
      </c>
      <c r="D738" t="s">
        <v>410</v>
      </c>
      <c r="E738" t="s">
        <v>6</v>
      </c>
      <c r="F738" t="s">
        <v>14</v>
      </c>
      <c r="G738" t="s">
        <v>15</v>
      </c>
      <c r="H738" t="s">
        <v>16</v>
      </c>
      <c r="I738" t="s">
        <v>1745</v>
      </c>
      <c r="J738" t="s">
        <v>17</v>
      </c>
      <c r="K738" t="s">
        <v>32</v>
      </c>
      <c r="L738" t="s">
        <v>5</v>
      </c>
      <c r="M738">
        <v>90.24</v>
      </c>
      <c r="N738">
        <v>6</v>
      </c>
      <c r="O738">
        <v>0</v>
      </c>
      <c r="P738">
        <v>41.510399999999997</v>
      </c>
      <c r="Q738" s="1">
        <v>0.46</v>
      </c>
      <c r="R738" t="s">
        <v>4</v>
      </c>
      <c r="S738" t="s">
        <v>394</v>
      </c>
    </row>
    <row r="739" spans="1:19" x14ac:dyDescent="0.3">
      <c r="A739">
        <v>2496</v>
      </c>
      <c r="B739" t="s">
        <v>1746</v>
      </c>
      <c r="C739">
        <v>2014</v>
      </c>
      <c r="D739" t="s">
        <v>396</v>
      </c>
      <c r="E739" t="s">
        <v>6</v>
      </c>
      <c r="F739" t="s">
        <v>328</v>
      </c>
      <c r="G739" t="s">
        <v>65</v>
      </c>
      <c r="H739" t="s">
        <v>38</v>
      </c>
      <c r="I739" t="s">
        <v>761</v>
      </c>
      <c r="J739" t="s">
        <v>10</v>
      </c>
      <c r="K739" t="s">
        <v>12</v>
      </c>
      <c r="L739" t="s">
        <v>19</v>
      </c>
      <c r="M739">
        <v>647.84</v>
      </c>
      <c r="N739">
        <v>8</v>
      </c>
      <c r="O739">
        <v>0</v>
      </c>
      <c r="P739">
        <v>32.392000000000003</v>
      </c>
      <c r="Q739" s="1">
        <v>0.05</v>
      </c>
      <c r="R739" t="s">
        <v>4</v>
      </c>
      <c r="S739" t="s">
        <v>394</v>
      </c>
    </row>
    <row r="740" spans="1:19" x14ac:dyDescent="0.3">
      <c r="A740">
        <v>2500</v>
      </c>
      <c r="B740" t="s">
        <v>1747</v>
      </c>
      <c r="C740">
        <v>2017</v>
      </c>
      <c r="D740" t="s">
        <v>396</v>
      </c>
      <c r="E740" t="s">
        <v>6</v>
      </c>
      <c r="F740" t="s">
        <v>170</v>
      </c>
      <c r="G740" t="s">
        <v>21</v>
      </c>
      <c r="H740" t="s">
        <v>9</v>
      </c>
      <c r="I740" t="s">
        <v>1748</v>
      </c>
      <c r="J740" t="s">
        <v>17</v>
      </c>
      <c r="K740" t="s">
        <v>51</v>
      </c>
      <c r="L740" t="s">
        <v>53</v>
      </c>
      <c r="M740">
        <v>37.607999999999997</v>
      </c>
      <c r="N740">
        <v>3</v>
      </c>
      <c r="O740">
        <v>0.2</v>
      </c>
      <c r="P740">
        <v>12.6927</v>
      </c>
      <c r="Q740" s="1">
        <v>0.33750000000000002</v>
      </c>
      <c r="R740" t="s">
        <v>4</v>
      </c>
      <c r="S740" t="s">
        <v>408</v>
      </c>
    </row>
    <row r="741" spans="1:19" x14ac:dyDescent="0.3">
      <c r="A741">
        <v>2505</v>
      </c>
      <c r="B741" t="s">
        <v>1749</v>
      </c>
      <c r="C741">
        <v>2014</v>
      </c>
      <c r="D741" t="s">
        <v>425</v>
      </c>
      <c r="E741" t="s">
        <v>6</v>
      </c>
      <c r="F741" t="s">
        <v>43</v>
      </c>
      <c r="G741" t="s">
        <v>15</v>
      </c>
      <c r="H741" t="s">
        <v>16</v>
      </c>
      <c r="I741" t="s">
        <v>1750</v>
      </c>
      <c r="J741" t="s">
        <v>17</v>
      </c>
      <c r="K741" t="s">
        <v>23</v>
      </c>
      <c r="L741" t="s">
        <v>5</v>
      </c>
      <c r="M741">
        <v>53.72</v>
      </c>
      <c r="N741">
        <v>4</v>
      </c>
      <c r="O741">
        <v>0</v>
      </c>
      <c r="P741">
        <v>15.041600000000001</v>
      </c>
      <c r="Q741" s="1">
        <v>0.28000000000000003</v>
      </c>
      <c r="R741" t="s">
        <v>4</v>
      </c>
      <c r="S741" t="s">
        <v>394</v>
      </c>
    </row>
    <row r="742" spans="1:19" x14ac:dyDescent="0.3">
      <c r="A742">
        <v>2508</v>
      </c>
      <c r="B742" t="s">
        <v>1751</v>
      </c>
      <c r="C742">
        <v>2015</v>
      </c>
      <c r="D742" t="s">
        <v>425</v>
      </c>
      <c r="E742" t="s">
        <v>6</v>
      </c>
      <c r="F742" t="s">
        <v>52</v>
      </c>
      <c r="G742" t="s">
        <v>37</v>
      </c>
      <c r="H742" t="s">
        <v>38</v>
      </c>
      <c r="I742" t="s">
        <v>1752</v>
      </c>
      <c r="J742" t="s">
        <v>17</v>
      </c>
      <c r="K742" t="s">
        <v>29</v>
      </c>
      <c r="L742" t="s">
        <v>158</v>
      </c>
      <c r="M742">
        <v>32.783999999999999</v>
      </c>
      <c r="N742">
        <v>4</v>
      </c>
      <c r="O742">
        <v>0.8</v>
      </c>
      <c r="P742">
        <v>-85.238399999999999</v>
      </c>
      <c r="Q742" s="1">
        <v>-2.6</v>
      </c>
      <c r="R742" t="s">
        <v>401</v>
      </c>
      <c r="S742" t="s">
        <v>402</v>
      </c>
    </row>
    <row r="743" spans="1:19" x14ac:dyDescent="0.3">
      <c r="A743">
        <v>2511</v>
      </c>
      <c r="B743" t="s">
        <v>1753</v>
      </c>
      <c r="C743">
        <v>2016</v>
      </c>
      <c r="D743" t="s">
        <v>392</v>
      </c>
      <c r="E743" t="s">
        <v>35</v>
      </c>
      <c r="F743" t="s">
        <v>305</v>
      </c>
      <c r="G743" t="s">
        <v>110</v>
      </c>
      <c r="H743" t="s">
        <v>38</v>
      </c>
      <c r="I743" t="s">
        <v>1754</v>
      </c>
      <c r="J743" t="s">
        <v>17</v>
      </c>
      <c r="K743" t="s">
        <v>23</v>
      </c>
      <c r="L743" t="s">
        <v>19</v>
      </c>
      <c r="M743">
        <v>1117.92</v>
      </c>
      <c r="N743">
        <v>4</v>
      </c>
      <c r="O743">
        <v>0</v>
      </c>
      <c r="P743">
        <v>55.896000000000001</v>
      </c>
      <c r="Q743" s="1">
        <v>0.05</v>
      </c>
      <c r="R743" t="s">
        <v>4</v>
      </c>
      <c r="S743" t="s">
        <v>394</v>
      </c>
    </row>
    <row r="744" spans="1:19" x14ac:dyDescent="0.3">
      <c r="A744">
        <v>2516</v>
      </c>
      <c r="B744" t="s">
        <v>1755</v>
      </c>
      <c r="C744">
        <v>2014</v>
      </c>
      <c r="D744" t="s">
        <v>428</v>
      </c>
      <c r="E744" t="s">
        <v>6</v>
      </c>
      <c r="F744" t="s">
        <v>298</v>
      </c>
      <c r="G744" t="s">
        <v>95</v>
      </c>
      <c r="H744" t="s">
        <v>48</v>
      </c>
      <c r="I744" t="s">
        <v>882</v>
      </c>
      <c r="J744" t="s">
        <v>17</v>
      </c>
      <c r="K744" t="s">
        <v>23</v>
      </c>
      <c r="L744" t="s">
        <v>19</v>
      </c>
      <c r="M744">
        <v>264.32</v>
      </c>
      <c r="N744">
        <v>2</v>
      </c>
      <c r="O744">
        <v>0.2</v>
      </c>
      <c r="P744">
        <v>19.824000000000002</v>
      </c>
      <c r="Q744" s="1">
        <v>7.4999999999999997E-2</v>
      </c>
      <c r="R744" t="s">
        <v>4</v>
      </c>
      <c r="S744" t="s">
        <v>408</v>
      </c>
    </row>
    <row r="745" spans="1:19" x14ac:dyDescent="0.3">
      <c r="A745">
        <v>2518</v>
      </c>
      <c r="B745" t="s">
        <v>1756</v>
      </c>
      <c r="C745">
        <v>2017</v>
      </c>
      <c r="D745" t="s">
        <v>417</v>
      </c>
      <c r="E745" t="s">
        <v>13</v>
      </c>
      <c r="F745" t="s">
        <v>122</v>
      </c>
      <c r="G745" t="s">
        <v>123</v>
      </c>
      <c r="H745" t="s">
        <v>48</v>
      </c>
      <c r="I745" t="s">
        <v>1757</v>
      </c>
      <c r="J745" t="s">
        <v>10</v>
      </c>
      <c r="K745" t="s">
        <v>24</v>
      </c>
      <c r="L745" t="s">
        <v>19</v>
      </c>
      <c r="M745">
        <v>129.93</v>
      </c>
      <c r="N745">
        <v>3</v>
      </c>
      <c r="O745">
        <v>0</v>
      </c>
      <c r="P745">
        <v>12.993</v>
      </c>
      <c r="Q745" s="1">
        <v>0.1</v>
      </c>
      <c r="R745" t="s">
        <v>4</v>
      </c>
      <c r="S745" t="s">
        <v>394</v>
      </c>
    </row>
    <row r="746" spans="1:19" x14ac:dyDescent="0.3">
      <c r="A746">
        <v>2525</v>
      </c>
      <c r="B746" t="s">
        <v>1758</v>
      </c>
      <c r="C746">
        <v>2015</v>
      </c>
      <c r="D746" t="s">
        <v>406</v>
      </c>
      <c r="E746" t="s">
        <v>6</v>
      </c>
      <c r="F746" t="s">
        <v>52</v>
      </c>
      <c r="G746" t="s">
        <v>37</v>
      </c>
      <c r="H746" t="s">
        <v>38</v>
      </c>
      <c r="I746" t="s">
        <v>857</v>
      </c>
      <c r="J746" t="s">
        <v>17</v>
      </c>
      <c r="K746" t="s">
        <v>25</v>
      </c>
      <c r="L746" t="s">
        <v>19</v>
      </c>
      <c r="M746">
        <v>42.048000000000002</v>
      </c>
      <c r="N746">
        <v>9</v>
      </c>
      <c r="O746">
        <v>0.2</v>
      </c>
      <c r="P746">
        <v>5.2560000000000002</v>
      </c>
      <c r="Q746" s="1">
        <v>0.125</v>
      </c>
      <c r="R746" t="s">
        <v>4</v>
      </c>
      <c r="S746" t="s">
        <v>408</v>
      </c>
    </row>
    <row r="747" spans="1:19" x14ac:dyDescent="0.3">
      <c r="A747">
        <v>2530</v>
      </c>
      <c r="B747" t="s">
        <v>1759</v>
      </c>
      <c r="C747">
        <v>2014</v>
      </c>
      <c r="D747" t="s">
        <v>399</v>
      </c>
      <c r="E747" t="s">
        <v>35</v>
      </c>
      <c r="F747" t="s">
        <v>20</v>
      </c>
      <c r="G747" t="s">
        <v>21</v>
      </c>
      <c r="H747" t="s">
        <v>9</v>
      </c>
      <c r="I747" t="s">
        <v>1760</v>
      </c>
      <c r="J747" t="s">
        <v>17</v>
      </c>
      <c r="K747" t="s">
        <v>32</v>
      </c>
      <c r="L747" t="s">
        <v>19</v>
      </c>
      <c r="M747">
        <v>10.368</v>
      </c>
      <c r="N747">
        <v>2</v>
      </c>
      <c r="O747">
        <v>0.2</v>
      </c>
      <c r="P747">
        <v>3.6288</v>
      </c>
      <c r="Q747" s="1">
        <v>0.35</v>
      </c>
      <c r="R747" t="s">
        <v>4</v>
      </c>
      <c r="S747" t="s">
        <v>408</v>
      </c>
    </row>
    <row r="748" spans="1:19" x14ac:dyDescent="0.3">
      <c r="A748">
        <v>2537</v>
      </c>
      <c r="B748" t="s">
        <v>1761</v>
      </c>
      <c r="C748">
        <v>2015</v>
      </c>
      <c r="D748" t="s">
        <v>430</v>
      </c>
      <c r="E748" t="s">
        <v>6</v>
      </c>
      <c r="F748" t="s">
        <v>208</v>
      </c>
      <c r="G748" t="s">
        <v>95</v>
      </c>
      <c r="H748" t="s">
        <v>48</v>
      </c>
      <c r="I748" t="s">
        <v>472</v>
      </c>
      <c r="J748" t="s">
        <v>10</v>
      </c>
      <c r="K748" t="s">
        <v>12</v>
      </c>
      <c r="L748" t="s">
        <v>5</v>
      </c>
      <c r="M748">
        <v>181.98599999999999</v>
      </c>
      <c r="N748">
        <v>2</v>
      </c>
      <c r="O748">
        <v>0.3</v>
      </c>
      <c r="P748">
        <v>-54.595799999999997</v>
      </c>
      <c r="Q748" s="1">
        <v>-0.3</v>
      </c>
      <c r="R748" t="s">
        <v>401</v>
      </c>
      <c r="S748" t="s">
        <v>402</v>
      </c>
    </row>
    <row r="749" spans="1:19" x14ac:dyDescent="0.3">
      <c r="A749">
        <v>2540</v>
      </c>
      <c r="B749" t="s">
        <v>1762</v>
      </c>
      <c r="C749">
        <v>2015</v>
      </c>
      <c r="D749" t="s">
        <v>425</v>
      </c>
      <c r="E749" t="s">
        <v>13</v>
      </c>
      <c r="F749" t="s">
        <v>43</v>
      </c>
      <c r="G749" t="s">
        <v>15</v>
      </c>
      <c r="H749" t="s">
        <v>16</v>
      </c>
      <c r="I749" t="s">
        <v>1763</v>
      </c>
      <c r="J749" t="s">
        <v>10</v>
      </c>
      <c r="K749" t="s">
        <v>12</v>
      </c>
      <c r="L749" t="s">
        <v>158</v>
      </c>
      <c r="M749">
        <v>1348.704</v>
      </c>
      <c r="N749">
        <v>6</v>
      </c>
      <c r="O749">
        <v>0.2</v>
      </c>
      <c r="P749">
        <v>-219.1644</v>
      </c>
      <c r="Q749" s="1">
        <v>-0.16250000000000001</v>
      </c>
      <c r="R749" t="s">
        <v>401</v>
      </c>
      <c r="S749" t="s">
        <v>408</v>
      </c>
    </row>
    <row r="750" spans="1:19" x14ac:dyDescent="0.3">
      <c r="A750">
        <v>2548</v>
      </c>
      <c r="B750" t="s">
        <v>1764</v>
      </c>
      <c r="C750">
        <v>2015</v>
      </c>
      <c r="D750" t="s">
        <v>420</v>
      </c>
      <c r="E750" t="s">
        <v>6</v>
      </c>
      <c r="F750" t="s">
        <v>99</v>
      </c>
      <c r="G750" t="s">
        <v>72</v>
      </c>
      <c r="H750" t="s">
        <v>16</v>
      </c>
      <c r="I750" t="s">
        <v>1765</v>
      </c>
      <c r="J750" t="s">
        <v>17</v>
      </c>
      <c r="K750" t="s">
        <v>25</v>
      </c>
      <c r="L750" t="s">
        <v>19</v>
      </c>
      <c r="M750">
        <v>2.3039999999999998</v>
      </c>
      <c r="N750">
        <v>1</v>
      </c>
      <c r="O750">
        <v>0.2</v>
      </c>
      <c r="P750">
        <v>0.25919999999999999</v>
      </c>
      <c r="Q750" s="1">
        <v>0.1125</v>
      </c>
      <c r="R750" t="s">
        <v>4</v>
      </c>
      <c r="S750" t="s">
        <v>408</v>
      </c>
    </row>
    <row r="751" spans="1:19" x14ac:dyDescent="0.3">
      <c r="A751">
        <v>2554</v>
      </c>
      <c r="B751" t="s">
        <v>1766</v>
      </c>
      <c r="C751">
        <v>2016</v>
      </c>
      <c r="D751" t="s">
        <v>428</v>
      </c>
      <c r="E751" t="s">
        <v>35</v>
      </c>
      <c r="F751" t="s">
        <v>81</v>
      </c>
      <c r="G751" t="s">
        <v>82</v>
      </c>
      <c r="H751" t="s">
        <v>9</v>
      </c>
      <c r="I751" t="s">
        <v>1165</v>
      </c>
      <c r="J751" t="s">
        <v>17</v>
      </c>
      <c r="K751" t="s">
        <v>32</v>
      </c>
      <c r="L751" t="s">
        <v>19</v>
      </c>
      <c r="M751">
        <v>25.92</v>
      </c>
      <c r="N751">
        <v>4</v>
      </c>
      <c r="O751">
        <v>0</v>
      </c>
      <c r="P751">
        <v>12.441599999999999</v>
      </c>
      <c r="Q751" s="1">
        <v>0.48</v>
      </c>
      <c r="R751" t="s">
        <v>4</v>
      </c>
      <c r="S751" t="s">
        <v>394</v>
      </c>
    </row>
    <row r="752" spans="1:19" x14ac:dyDescent="0.3">
      <c r="A752">
        <v>2557</v>
      </c>
      <c r="B752" t="s">
        <v>1767</v>
      </c>
      <c r="C752">
        <v>2016</v>
      </c>
      <c r="D752" t="s">
        <v>399</v>
      </c>
      <c r="E752" t="s">
        <v>13</v>
      </c>
      <c r="F752" t="s">
        <v>52</v>
      </c>
      <c r="G752" t="s">
        <v>37</v>
      </c>
      <c r="H752" t="s">
        <v>38</v>
      </c>
      <c r="I752" t="s">
        <v>1768</v>
      </c>
      <c r="J752" t="s">
        <v>10</v>
      </c>
      <c r="K752" t="s">
        <v>24</v>
      </c>
      <c r="L752" t="s">
        <v>19</v>
      </c>
      <c r="M752">
        <v>51.712000000000003</v>
      </c>
      <c r="N752">
        <v>8</v>
      </c>
      <c r="O752">
        <v>0.6</v>
      </c>
      <c r="P752">
        <v>-32.32</v>
      </c>
      <c r="Q752" s="1">
        <v>-0.625</v>
      </c>
      <c r="R752" t="s">
        <v>401</v>
      </c>
      <c r="S752" t="s">
        <v>402</v>
      </c>
    </row>
    <row r="753" spans="1:19" x14ac:dyDescent="0.3">
      <c r="A753">
        <v>2564</v>
      </c>
      <c r="B753" t="s">
        <v>1769</v>
      </c>
      <c r="C753">
        <v>2015</v>
      </c>
      <c r="D753" t="s">
        <v>447</v>
      </c>
      <c r="E753" t="s">
        <v>13</v>
      </c>
      <c r="F753" t="s">
        <v>66</v>
      </c>
      <c r="G753" t="s">
        <v>67</v>
      </c>
      <c r="H753" t="s">
        <v>48</v>
      </c>
      <c r="I753" t="s">
        <v>1770</v>
      </c>
      <c r="J753" t="s">
        <v>26</v>
      </c>
      <c r="K753" t="s">
        <v>50</v>
      </c>
      <c r="L753" t="s">
        <v>5</v>
      </c>
      <c r="M753">
        <v>15.02</v>
      </c>
      <c r="N753">
        <v>1</v>
      </c>
      <c r="O753">
        <v>0</v>
      </c>
      <c r="P753">
        <v>2.7035999999999998</v>
      </c>
      <c r="Q753" s="1">
        <v>0.18</v>
      </c>
      <c r="R753" t="s">
        <v>4</v>
      </c>
      <c r="S753" t="s">
        <v>394</v>
      </c>
    </row>
    <row r="754" spans="1:19" x14ac:dyDescent="0.3">
      <c r="A754">
        <v>2567</v>
      </c>
      <c r="B754" t="s">
        <v>1771</v>
      </c>
      <c r="C754">
        <v>2017</v>
      </c>
      <c r="D754" t="s">
        <v>392</v>
      </c>
      <c r="E754" t="s">
        <v>6</v>
      </c>
      <c r="F754" t="s">
        <v>331</v>
      </c>
      <c r="G754" t="s">
        <v>34</v>
      </c>
      <c r="H754" t="s">
        <v>16</v>
      </c>
      <c r="I754" t="s">
        <v>1772</v>
      </c>
      <c r="J754" t="s">
        <v>17</v>
      </c>
      <c r="K754" t="s">
        <v>28</v>
      </c>
      <c r="L754" t="s">
        <v>5</v>
      </c>
      <c r="M754">
        <v>25.12</v>
      </c>
      <c r="N754">
        <v>5</v>
      </c>
      <c r="O754">
        <v>0.2</v>
      </c>
      <c r="P754">
        <v>7.85</v>
      </c>
      <c r="Q754" s="1">
        <v>0.3125</v>
      </c>
      <c r="R754" t="s">
        <v>4</v>
      </c>
      <c r="S754" t="s">
        <v>408</v>
      </c>
    </row>
    <row r="755" spans="1:19" x14ac:dyDescent="0.3">
      <c r="A755">
        <v>2570</v>
      </c>
      <c r="B755" t="s">
        <v>1773</v>
      </c>
      <c r="C755">
        <v>2017</v>
      </c>
      <c r="D755" t="s">
        <v>410</v>
      </c>
      <c r="E755" t="s">
        <v>13</v>
      </c>
      <c r="F755" t="s">
        <v>105</v>
      </c>
      <c r="G755" t="s">
        <v>95</v>
      </c>
      <c r="H755" t="s">
        <v>48</v>
      </c>
      <c r="I755" t="s">
        <v>1774</v>
      </c>
      <c r="J755" t="s">
        <v>26</v>
      </c>
      <c r="K755" t="s">
        <v>27</v>
      </c>
      <c r="L755" t="s">
        <v>158</v>
      </c>
      <c r="M755">
        <v>164.38800000000001</v>
      </c>
      <c r="N755">
        <v>2</v>
      </c>
      <c r="O755">
        <v>0.4</v>
      </c>
      <c r="P755">
        <v>-35.617400000000004</v>
      </c>
      <c r="Q755" s="1">
        <v>-0.21666666666666701</v>
      </c>
      <c r="R755" t="s">
        <v>401</v>
      </c>
      <c r="S755" t="s">
        <v>402</v>
      </c>
    </row>
    <row r="756" spans="1:19" x14ac:dyDescent="0.3">
      <c r="A756">
        <v>2575</v>
      </c>
      <c r="B756" t="s">
        <v>1775</v>
      </c>
      <c r="C756">
        <v>2014</v>
      </c>
      <c r="D756" t="s">
        <v>392</v>
      </c>
      <c r="E756" t="s">
        <v>13</v>
      </c>
      <c r="F756" t="s">
        <v>94</v>
      </c>
      <c r="G756" t="s">
        <v>157</v>
      </c>
      <c r="H756" t="s">
        <v>9</v>
      </c>
      <c r="I756" t="s">
        <v>1776</v>
      </c>
      <c r="J756" t="s">
        <v>17</v>
      </c>
      <c r="K756" t="s">
        <v>51</v>
      </c>
      <c r="L756" t="s">
        <v>19</v>
      </c>
      <c r="M756">
        <v>16.23</v>
      </c>
      <c r="N756">
        <v>3</v>
      </c>
      <c r="O756">
        <v>0</v>
      </c>
      <c r="P756">
        <v>7.9527000000000001</v>
      </c>
      <c r="Q756" s="1">
        <v>0.49</v>
      </c>
      <c r="R756" t="s">
        <v>4</v>
      </c>
      <c r="S756" t="s">
        <v>394</v>
      </c>
    </row>
    <row r="757" spans="1:19" x14ac:dyDescent="0.3">
      <c r="A757">
        <v>2579</v>
      </c>
      <c r="B757" t="s">
        <v>1777</v>
      </c>
      <c r="C757">
        <v>2014</v>
      </c>
      <c r="D757" t="s">
        <v>430</v>
      </c>
      <c r="E757" t="s">
        <v>35</v>
      </c>
      <c r="F757" t="s">
        <v>234</v>
      </c>
      <c r="G757" t="s">
        <v>74</v>
      </c>
      <c r="H757" t="s">
        <v>9</v>
      </c>
      <c r="I757" t="s">
        <v>1778</v>
      </c>
      <c r="J757" t="s">
        <v>10</v>
      </c>
      <c r="K757" t="s">
        <v>24</v>
      </c>
      <c r="L757" t="s">
        <v>19</v>
      </c>
      <c r="M757">
        <v>62.82</v>
      </c>
      <c r="N757">
        <v>3</v>
      </c>
      <c r="O757">
        <v>0</v>
      </c>
      <c r="P757">
        <v>30.7818</v>
      </c>
      <c r="Q757" s="1">
        <v>0.49</v>
      </c>
      <c r="R757" t="s">
        <v>4</v>
      </c>
      <c r="S757" t="s">
        <v>394</v>
      </c>
    </row>
    <row r="758" spans="1:19" x14ac:dyDescent="0.3">
      <c r="A758">
        <v>2600</v>
      </c>
      <c r="B758" t="s">
        <v>1779</v>
      </c>
      <c r="C758">
        <v>2017</v>
      </c>
      <c r="D758" t="s">
        <v>406</v>
      </c>
      <c r="E758" t="s">
        <v>6</v>
      </c>
      <c r="F758" t="s">
        <v>66</v>
      </c>
      <c r="G758" t="s">
        <v>67</v>
      </c>
      <c r="H758" t="s">
        <v>48</v>
      </c>
      <c r="I758" t="s">
        <v>1780</v>
      </c>
      <c r="J758" t="s">
        <v>17</v>
      </c>
      <c r="K758" t="s">
        <v>29</v>
      </c>
      <c r="L758" t="s">
        <v>19</v>
      </c>
      <c r="M758">
        <v>121.94</v>
      </c>
      <c r="N758">
        <v>2</v>
      </c>
      <c r="O758">
        <v>0</v>
      </c>
      <c r="P758">
        <v>35.3626</v>
      </c>
      <c r="Q758" s="1">
        <v>0.28999999999999998</v>
      </c>
      <c r="R758" t="s">
        <v>4</v>
      </c>
      <c r="S758" t="s">
        <v>394</v>
      </c>
    </row>
    <row r="759" spans="1:19" x14ac:dyDescent="0.3">
      <c r="A759">
        <v>2606</v>
      </c>
      <c r="B759" t="s">
        <v>1781</v>
      </c>
      <c r="C759">
        <v>2014</v>
      </c>
      <c r="D759" t="s">
        <v>410</v>
      </c>
      <c r="E759" t="s">
        <v>13</v>
      </c>
      <c r="F759" t="s">
        <v>179</v>
      </c>
      <c r="G759" t="s">
        <v>21</v>
      </c>
      <c r="H759" t="s">
        <v>9</v>
      </c>
      <c r="I759" t="s">
        <v>1782</v>
      </c>
      <c r="J759" t="s">
        <v>17</v>
      </c>
      <c r="K759" t="s">
        <v>28</v>
      </c>
      <c r="L759" t="s">
        <v>19</v>
      </c>
      <c r="M759">
        <v>1.167</v>
      </c>
      <c r="N759">
        <v>1</v>
      </c>
      <c r="O759">
        <v>0.7</v>
      </c>
      <c r="P759">
        <v>-0.85580000000000001</v>
      </c>
      <c r="Q759" s="1">
        <v>-0.73333333333333295</v>
      </c>
      <c r="R759" t="s">
        <v>401</v>
      </c>
      <c r="S759" t="s">
        <v>402</v>
      </c>
    </row>
    <row r="760" spans="1:19" x14ac:dyDescent="0.3">
      <c r="A760">
        <v>2607</v>
      </c>
      <c r="B760" t="s">
        <v>1783</v>
      </c>
      <c r="C760">
        <v>2016</v>
      </c>
      <c r="D760" t="s">
        <v>447</v>
      </c>
      <c r="E760" t="s">
        <v>35</v>
      </c>
      <c r="F760" t="s">
        <v>134</v>
      </c>
      <c r="G760" t="s">
        <v>15</v>
      </c>
      <c r="H760" t="s">
        <v>16</v>
      </c>
      <c r="I760" t="s">
        <v>1784</v>
      </c>
      <c r="J760" t="s">
        <v>17</v>
      </c>
      <c r="K760" t="s">
        <v>25</v>
      </c>
      <c r="L760" t="s">
        <v>19</v>
      </c>
      <c r="M760">
        <v>16.989999999999998</v>
      </c>
      <c r="N760">
        <v>1</v>
      </c>
      <c r="O760">
        <v>0</v>
      </c>
      <c r="P760">
        <v>4.9271000000000003</v>
      </c>
      <c r="Q760" s="1">
        <v>0.28999999999999998</v>
      </c>
      <c r="R760" t="s">
        <v>4</v>
      </c>
      <c r="S760" t="s">
        <v>394</v>
      </c>
    </row>
    <row r="761" spans="1:19" x14ac:dyDescent="0.3">
      <c r="A761">
        <v>2615</v>
      </c>
      <c r="B761" t="s">
        <v>1785</v>
      </c>
      <c r="C761">
        <v>2014</v>
      </c>
      <c r="D761" t="s">
        <v>406</v>
      </c>
      <c r="E761" t="s">
        <v>13</v>
      </c>
      <c r="F761" t="s">
        <v>14</v>
      </c>
      <c r="G761" t="s">
        <v>15</v>
      </c>
      <c r="H761" t="s">
        <v>16</v>
      </c>
      <c r="I761" t="s">
        <v>733</v>
      </c>
      <c r="J761" t="s">
        <v>10</v>
      </c>
      <c r="K761" t="s">
        <v>12</v>
      </c>
      <c r="L761" t="s">
        <v>19</v>
      </c>
      <c r="M761">
        <v>230.28</v>
      </c>
      <c r="N761">
        <v>3</v>
      </c>
      <c r="O761">
        <v>0.2</v>
      </c>
      <c r="P761">
        <v>23.027999999999999</v>
      </c>
      <c r="Q761" s="1">
        <v>0.1</v>
      </c>
      <c r="R761" t="s">
        <v>4</v>
      </c>
      <c r="S761" t="s">
        <v>408</v>
      </c>
    </row>
    <row r="762" spans="1:19" x14ac:dyDescent="0.3">
      <c r="A762">
        <v>2624</v>
      </c>
      <c r="B762" t="s">
        <v>1786</v>
      </c>
      <c r="C762">
        <v>2017</v>
      </c>
      <c r="D762" t="s">
        <v>399</v>
      </c>
      <c r="E762" t="s">
        <v>35</v>
      </c>
      <c r="F762" t="s">
        <v>66</v>
      </c>
      <c r="G762" t="s">
        <v>67</v>
      </c>
      <c r="H762" t="s">
        <v>48</v>
      </c>
      <c r="I762" t="s">
        <v>1787</v>
      </c>
      <c r="J762" t="s">
        <v>26</v>
      </c>
      <c r="K762" t="s">
        <v>152</v>
      </c>
      <c r="L762" t="s">
        <v>53</v>
      </c>
      <c r="M762">
        <v>11199.968000000001</v>
      </c>
      <c r="N762">
        <v>4</v>
      </c>
      <c r="O762">
        <v>0.2</v>
      </c>
      <c r="P762">
        <v>3919.9888000000001</v>
      </c>
      <c r="Q762" s="1">
        <v>0.35</v>
      </c>
      <c r="R762" t="s">
        <v>4</v>
      </c>
      <c r="S762" t="s">
        <v>408</v>
      </c>
    </row>
    <row r="763" spans="1:19" x14ac:dyDescent="0.3">
      <c r="A763">
        <v>2635</v>
      </c>
      <c r="B763" t="s">
        <v>1788</v>
      </c>
      <c r="C763">
        <v>2015</v>
      </c>
      <c r="D763" t="s">
        <v>425</v>
      </c>
      <c r="E763" t="s">
        <v>13</v>
      </c>
      <c r="F763" t="s">
        <v>185</v>
      </c>
      <c r="G763" t="s">
        <v>31</v>
      </c>
      <c r="H763" t="s">
        <v>9</v>
      </c>
      <c r="I763" t="s">
        <v>1789</v>
      </c>
      <c r="J763" t="s">
        <v>10</v>
      </c>
      <c r="K763" t="s">
        <v>24</v>
      </c>
      <c r="L763" t="s">
        <v>5</v>
      </c>
      <c r="M763">
        <v>4.9279999999999999</v>
      </c>
      <c r="N763">
        <v>2</v>
      </c>
      <c r="O763">
        <v>0.2</v>
      </c>
      <c r="P763">
        <v>0.73919999999999997</v>
      </c>
      <c r="Q763" s="1">
        <v>0.15</v>
      </c>
      <c r="R763" t="s">
        <v>4</v>
      </c>
      <c r="S763" t="s">
        <v>408</v>
      </c>
    </row>
    <row r="764" spans="1:19" x14ac:dyDescent="0.3">
      <c r="A764">
        <v>2637</v>
      </c>
      <c r="B764" t="s">
        <v>1790</v>
      </c>
      <c r="C764">
        <v>2015</v>
      </c>
      <c r="D764" t="s">
        <v>420</v>
      </c>
      <c r="E764" t="s">
        <v>13</v>
      </c>
      <c r="F764" t="s">
        <v>14</v>
      </c>
      <c r="G764" t="s">
        <v>15</v>
      </c>
      <c r="H764" t="s">
        <v>16</v>
      </c>
      <c r="I764" t="s">
        <v>1120</v>
      </c>
      <c r="J764" t="s">
        <v>17</v>
      </c>
      <c r="K764" t="s">
        <v>23</v>
      </c>
      <c r="L764" t="s">
        <v>19</v>
      </c>
      <c r="M764">
        <v>323.10000000000002</v>
      </c>
      <c r="N764">
        <v>2</v>
      </c>
      <c r="O764">
        <v>0</v>
      </c>
      <c r="P764">
        <v>61.389000000000003</v>
      </c>
      <c r="Q764" s="1">
        <v>0.19</v>
      </c>
      <c r="R764" t="s">
        <v>4</v>
      </c>
      <c r="S764" t="s">
        <v>394</v>
      </c>
    </row>
    <row r="765" spans="1:19" x14ac:dyDescent="0.3">
      <c r="A765">
        <v>2642</v>
      </c>
      <c r="B765" t="s">
        <v>1791</v>
      </c>
      <c r="C765">
        <v>2015</v>
      </c>
      <c r="D765" t="s">
        <v>529</v>
      </c>
      <c r="E765" t="s">
        <v>6</v>
      </c>
      <c r="F765" t="s">
        <v>333</v>
      </c>
      <c r="G765" t="s">
        <v>186</v>
      </c>
      <c r="H765" t="s">
        <v>9</v>
      </c>
      <c r="I765" t="s">
        <v>1792</v>
      </c>
      <c r="J765" t="s">
        <v>26</v>
      </c>
      <c r="K765" t="s">
        <v>50</v>
      </c>
      <c r="L765" t="s">
        <v>19</v>
      </c>
      <c r="M765">
        <v>29.99</v>
      </c>
      <c r="N765">
        <v>1</v>
      </c>
      <c r="O765">
        <v>0</v>
      </c>
      <c r="P765">
        <v>2.9990000000000001</v>
      </c>
      <c r="Q765" s="1">
        <v>0.1</v>
      </c>
      <c r="R765" t="s">
        <v>4</v>
      </c>
      <c r="S765" t="s">
        <v>394</v>
      </c>
    </row>
    <row r="766" spans="1:19" x14ac:dyDescent="0.3">
      <c r="A766">
        <v>2644</v>
      </c>
      <c r="B766" t="s">
        <v>1793</v>
      </c>
      <c r="C766">
        <v>2016</v>
      </c>
      <c r="D766" t="s">
        <v>406</v>
      </c>
      <c r="E766" t="s">
        <v>35</v>
      </c>
      <c r="F766" t="s">
        <v>297</v>
      </c>
      <c r="G766" t="s">
        <v>31</v>
      </c>
      <c r="H766" t="s">
        <v>9</v>
      </c>
      <c r="I766" t="s">
        <v>1283</v>
      </c>
      <c r="J766" t="s">
        <v>26</v>
      </c>
      <c r="K766" t="s">
        <v>27</v>
      </c>
      <c r="L766" t="s">
        <v>5</v>
      </c>
      <c r="M766">
        <v>36.792000000000002</v>
      </c>
      <c r="N766">
        <v>1</v>
      </c>
      <c r="O766">
        <v>0.2</v>
      </c>
      <c r="P766">
        <v>4.1391</v>
      </c>
      <c r="Q766" s="1">
        <v>0.1125</v>
      </c>
      <c r="R766" t="s">
        <v>4</v>
      </c>
      <c r="S766" t="s">
        <v>408</v>
      </c>
    </row>
    <row r="767" spans="1:19" x14ac:dyDescent="0.3">
      <c r="A767">
        <v>2659</v>
      </c>
      <c r="B767" t="s">
        <v>1794</v>
      </c>
      <c r="C767">
        <v>2016</v>
      </c>
      <c r="D767" t="s">
        <v>420</v>
      </c>
      <c r="E767" t="s">
        <v>6</v>
      </c>
      <c r="F767" t="s">
        <v>43</v>
      </c>
      <c r="G767" t="s">
        <v>15</v>
      </c>
      <c r="H767" t="s">
        <v>16</v>
      </c>
      <c r="I767" t="s">
        <v>1795</v>
      </c>
      <c r="J767" t="s">
        <v>17</v>
      </c>
      <c r="K767" t="s">
        <v>51</v>
      </c>
      <c r="L767" t="s">
        <v>19</v>
      </c>
      <c r="M767">
        <v>10.86</v>
      </c>
      <c r="N767">
        <v>3</v>
      </c>
      <c r="O767">
        <v>0</v>
      </c>
      <c r="P767">
        <v>5.1041999999999996</v>
      </c>
      <c r="Q767" s="1">
        <v>0.47</v>
      </c>
      <c r="R767" t="s">
        <v>4</v>
      </c>
      <c r="S767" t="s">
        <v>394</v>
      </c>
    </row>
    <row r="768" spans="1:19" x14ac:dyDescent="0.3">
      <c r="A768">
        <v>2664</v>
      </c>
      <c r="B768" t="s">
        <v>1796</v>
      </c>
      <c r="C768">
        <v>2016</v>
      </c>
      <c r="D768" t="s">
        <v>417</v>
      </c>
      <c r="E768" t="s">
        <v>6</v>
      </c>
      <c r="F768" t="s">
        <v>76</v>
      </c>
      <c r="G768" t="s">
        <v>77</v>
      </c>
      <c r="H768" t="s">
        <v>9</v>
      </c>
      <c r="I768" t="s">
        <v>1103</v>
      </c>
      <c r="J768" t="s">
        <v>17</v>
      </c>
      <c r="K768" t="s">
        <v>18</v>
      </c>
      <c r="L768" t="s">
        <v>53</v>
      </c>
      <c r="M768">
        <v>3.984</v>
      </c>
      <c r="N768">
        <v>1</v>
      </c>
      <c r="O768">
        <v>0.2</v>
      </c>
      <c r="P768">
        <v>1.2948</v>
      </c>
      <c r="Q768" s="1">
        <v>0.32500000000000001</v>
      </c>
      <c r="R768" t="s">
        <v>4</v>
      </c>
      <c r="S768" t="s">
        <v>408</v>
      </c>
    </row>
    <row r="769" spans="1:19" x14ac:dyDescent="0.3">
      <c r="A769">
        <v>2669</v>
      </c>
      <c r="B769" t="s">
        <v>1797</v>
      </c>
      <c r="C769">
        <v>2015</v>
      </c>
      <c r="D769" t="s">
        <v>420</v>
      </c>
      <c r="E769" t="s">
        <v>35</v>
      </c>
      <c r="F769" t="s">
        <v>14</v>
      </c>
      <c r="G769" t="s">
        <v>15</v>
      </c>
      <c r="H769" t="s">
        <v>16</v>
      </c>
      <c r="I769" t="s">
        <v>426</v>
      </c>
      <c r="J769" t="s">
        <v>10</v>
      </c>
      <c r="K769" t="s">
        <v>12</v>
      </c>
      <c r="L769" t="s">
        <v>19</v>
      </c>
      <c r="M769">
        <v>40.783999999999999</v>
      </c>
      <c r="N769">
        <v>1</v>
      </c>
      <c r="O769">
        <v>0.2</v>
      </c>
      <c r="P769">
        <v>4.5881999999999996</v>
      </c>
      <c r="Q769" s="1">
        <v>0.1125</v>
      </c>
      <c r="R769" t="s">
        <v>4</v>
      </c>
      <c r="S769" t="s">
        <v>408</v>
      </c>
    </row>
    <row r="770" spans="1:19" x14ac:dyDescent="0.3">
      <c r="A770">
        <v>2689</v>
      </c>
      <c r="B770" t="s">
        <v>1798</v>
      </c>
      <c r="C770">
        <v>2015</v>
      </c>
      <c r="D770" t="s">
        <v>392</v>
      </c>
      <c r="E770" t="s">
        <v>13</v>
      </c>
      <c r="F770" t="s">
        <v>14</v>
      </c>
      <c r="G770" t="s">
        <v>15</v>
      </c>
      <c r="H770" t="s">
        <v>16</v>
      </c>
      <c r="I770" t="s">
        <v>1799</v>
      </c>
      <c r="J770" t="s">
        <v>17</v>
      </c>
      <c r="K770" t="s">
        <v>32</v>
      </c>
      <c r="L770" t="s">
        <v>53</v>
      </c>
      <c r="M770">
        <v>15.7</v>
      </c>
      <c r="N770">
        <v>5</v>
      </c>
      <c r="O770">
        <v>0</v>
      </c>
      <c r="P770">
        <v>7.0650000000000004</v>
      </c>
      <c r="Q770" s="1">
        <v>0.45</v>
      </c>
      <c r="R770" t="s">
        <v>4</v>
      </c>
      <c r="S770" t="s">
        <v>394</v>
      </c>
    </row>
    <row r="771" spans="1:19" x14ac:dyDescent="0.3">
      <c r="A771">
        <v>2691</v>
      </c>
      <c r="B771" t="s">
        <v>1800</v>
      </c>
      <c r="C771">
        <v>2017</v>
      </c>
      <c r="D771" t="s">
        <v>410</v>
      </c>
      <c r="E771" t="s">
        <v>6</v>
      </c>
      <c r="F771" t="s">
        <v>46</v>
      </c>
      <c r="G771" t="s">
        <v>47</v>
      </c>
      <c r="H771" t="s">
        <v>48</v>
      </c>
      <c r="I771" t="s">
        <v>1317</v>
      </c>
      <c r="J771" t="s">
        <v>17</v>
      </c>
      <c r="K771" t="s">
        <v>28</v>
      </c>
      <c r="L771" t="s">
        <v>19</v>
      </c>
      <c r="M771">
        <v>5.3460000000000001</v>
      </c>
      <c r="N771">
        <v>3</v>
      </c>
      <c r="O771">
        <v>0.7</v>
      </c>
      <c r="P771">
        <v>-4.4550000000000001</v>
      </c>
      <c r="Q771" s="1">
        <v>-0.83333333333333404</v>
      </c>
      <c r="R771" t="s">
        <v>401</v>
      </c>
      <c r="S771" t="s">
        <v>402</v>
      </c>
    </row>
    <row r="772" spans="1:19" x14ac:dyDescent="0.3">
      <c r="A772">
        <v>2692</v>
      </c>
      <c r="B772" t="s">
        <v>1801</v>
      </c>
      <c r="C772">
        <v>2016</v>
      </c>
      <c r="D772" t="s">
        <v>420</v>
      </c>
      <c r="E772" t="s">
        <v>6</v>
      </c>
      <c r="F772" t="s">
        <v>334</v>
      </c>
      <c r="G772" t="s">
        <v>89</v>
      </c>
      <c r="H772" t="s">
        <v>16</v>
      </c>
      <c r="I772" t="s">
        <v>1802</v>
      </c>
      <c r="J772" t="s">
        <v>17</v>
      </c>
      <c r="K772" t="s">
        <v>32</v>
      </c>
      <c r="L772" t="s">
        <v>19</v>
      </c>
      <c r="M772">
        <v>15.48</v>
      </c>
      <c r="N772">
        <v>3</v>
      </c>
      <c r="O772">
        <v>0.2</v>
      </c>
      <c r="P772">
        <v>5.6115000000000004</v>
      </c>
      <c r="Q772" s="1">
        <v>0.36249999999999999</v>
      </c>
      <c r="R772" t="s">
        <v>4</v>
      </c>
      <c r="S772" t="s">
        <v>408</v>
      </c>
    </row>
    <row r="773" spans="1:19" x14ac:dyDescent="0.3">
      <c r="A773">
        <v>2695</v>
      </c>
      <c r="B773" t="s">
        <v>1803</v>
      </c>
      <c r="C773">
        <v>2014</v>
      </c>
      <c r="D773" t="s">
        <v>399</v>
      </c>
      <c r="E773" t="s">
        <v>6</v>
      </c>
      <c r="F773" t="s">
        <v>214</v>
      </c>
      <c r="G773" t="s">
        <v>21</v>
      </c>
      <c r="H773" t="s">
        <v>9</v>
      </c>
      <c r="I773" t="s">
        <v>1364</v>
      </c>
      <c r="J773" t="s">
        <v>10</v>
      </c>
      <c r="K773" t="s">
        <v>24</v>
      </c>
      <c r="L773" t="s">
        <v>19</v>
      </c>
      <c r="M773">
        <v>15.384</v>
      </c>
      <c r="N773">
        <v>1</v>
      </c>
      <c r="O773">
        <v>0.2</v>
      </c>
      <c r="P773">
        <v>4.0382999999999996</v>
      </c>
      <c r="Q773" s="1">
        <v>0.26250000000000001</v>
      </c>
      <c r="R773" t="s">
        <v>4</v>
      </c>
      <c r="S773" t="s">
        <v>408</v>
      </c>
    </row>
    <row r="774" spans="1:19" x14ac:dyDescent="0.3">
      <c r="A774">
        <v>2697</v>
      </c>
      <c r="B774" t="s">
        <v>1804</v>
      </c>
      <c r="C774">
        <v>2014</v>
      </c>
      <c r="D774" t="s">
        <v>447</v>
      </c>
      <c r="E774" t="s">
        <v>35</v>
      </c>
      <c r="F774" t="s">
        <v>179</v>
      </c>
      <c r="G774" t="s">
        <v>21</v>
      </c>
      <c r="H774" t="s">
        <v>9</v>
      </c>
      <c r="I774" t="s">
        <v>1805</v>
      </c>
      <c r="J774" t="s">
        <v>26</v>
      </c>
      <c r="K774" t="s">
        <v>114</v>
      </c>
      <c r="L774" t="s">
        <v>19</v>
      </c>
      <c r="M774">
        <v>821.3</v>
      </c>
      <c r="N774">
        <v>4</v>
      </c>
      <c r="O774">
        <v>0.5</v>
      </c>
      <c r="P774">
        <v>-16.425999999999998</v>
      </c>
      <c r="Q774" s="1">
        <v>-0.02</v>
      </c>
      <c r="R774" t="s">
        <v>401</v>
      </c>
      <c r="S774" t="s">
        <v>402</v>
      </c>
    </row>
    <row r="775" spans="1:19" x14ac:dyDescent="0.3">
      <c r="A775">
        <v>2704</v>
      </c>
      <c r="B775" t="s">
        <v>1806</v>
      </c>
      <c r="C775">
        <v>2014</v>
      </c>
      <c r="D775" t="s">
        <v>417</v>
      </c>
      <c r="E775" t="s">
        <v>6</v>
      </c>
      <c r="F775" t="s">
        <v>292</v>
      </c>
      <c r="G775" t="s">
        <v>231</v>
      </c>
      <c r="H775" t="s">
        <v>48</v>
      </c>
      <c r="I775" t="s">
        <v>1807</v>
      </c>
      <c r="J775" t="s">
        <v>17</v>
      </c>
      <c r="K775" t="s">
        <v>32</v>
      </c>
      <c r="L775" t="s">
        <v>19</v>
      </c>
      <c r="M775">
        <v>116.28</v>
      </c>
      <c r="N775">
        <v>3</v>
      </c>
      <c r="O775">
        <v>0</v>
      </c>
      <c r="P775">
        <v>56.977200000000003</v>
      </c>
      <c r="Q775" s="1">
        <v>0.49</v>
      </c>
      <c r="R775" t="s">
        <v>4</v>
      </c>
      <c r="S775" t="s">
        <v>394</v>
      </c>
    </row>
    <row r="776" spans="1:19" x14ac:dyDescent="0.3">
      <c r="A776">
        <v>2716</v>
      </c>
      <c r="B776" t="s">
        <v>1808</v>
      </c>
      <c r="C776">
        <v>2014</v>
      </c>
      <c r="D776" t="s">
        <v>410</v>
      </c>
      <c r="E776" t="s">
        <v>13</v>
      </c>
      <c r="F776" t="s">
        <v>66</v>
      </c>
      <c r="G776" t="s">
        <v>67</v>
      </c>
      <c r="H776" t="s">
        <v>48</v>
      </c>
      <c r="I776" t="s">
        <v>1809</v>
      </c>
      <c r="J776" t="s">
        <v>26</v>
      </c>
      <c r="K776" t="s">
        <v>27</v>
      </c>
      <c r="L776" t="s">
        <v>19</v>
      </c>
      <c r="M776">
        <v>129.97999999999999</v>
      </c>
      <c r="N776">
        <v>2</v>
      </c>
      <c r="O776">
        <v>0</v>
      </c>
      <c r="P776">
        <v>62.3904</v>
      </c>
      <c r="Q776" s="1">
        <v>0.48</v>
      </c>
      <c r="R776" t="s">
        <v>4</v>
      </c>
      <c r="S776" t="s">
        <v>394</v>
      </c>
    </row>
    <row r="777" spans="1:19" x14ac:dyDescent="0.3">
      <c r="A777">
        <v>2717</v>
      </c>
      <c r="B777" t="s">
        <v>1810</v>
      </c>
      <c r="C777">
        <v>2017</v>
      </c>
      <c r="D777" t="s">
        <v>420</v>
      </c>
      <c r="E777" t="s">
        <v>35</v>
      </c>
      <c r="F777" t="s">
        <v>94</v>
      </c>
      <c r="G777" t="s">
        <v>157</v>
      </c>
      <c r="H777" t="s">
        <v>9</v>
      </c>
      <c r="I777" t="s">
        <v>731</v>
      </c>
      <c r="J777" t="s">
        <v>26</v>
      </c>
      <c r="K777" t="s">
        <v>50</v>
      </c>
      <c r="L777" t="s">
        <v>19</v>
      </c>
      <c r="M777">
        <v>71.98</v>
      </c>
      <c r="N777">
        <v>2</v>
      </c>
      <c r="O777">
        <v>0</v>
      </c>
      <c r="P777">
        <v>15.1158</v>
      </c>
      <c r="Q777" s="1">
        <v>0.21</v>
      </c>
      <c r="R777" t="s">
        <v>4</v>
      </c>
      <c r="S777" t="s">
        <v>394</v>
      </c>
    </row>
    <row r="778" spans="1:19" x14ac:dyDescent="0.3">
      <c r="A778">
        <v>2720</v>
      </c>
      <c r="B778" t="s">
        <v>1811</v>
      </c>
      <c r="C778">
        <v>2014</v>
      </c>
      <c r="D778" t="s">
        <v>410</v>
      </c>
      <c r="E778" t="s">
        <v>6</v>
      </c>
      <c r="F778" t="s">
        <v>52</v>
      </c>
      <c r="G778" t="s">
        <v>37</v>
      </c>
      <c r="H778" t="s">
        <v>38</v>
      </c>
      <c r="I778" t="s">
        <v>899</v>
      </c>
      <c r="J778" t="s">
        <v>10</v>
      </c>
      <c r="K778" t="s">
        <v>24</v>
      </c>
      <c r="L778" t="s">
        <v>5</v>
      </c>
      <c r="M778">
        <v>23.975999999999999</v>
      </c>
      <c r="N778">
        <v>3</v>
      </c>
      <c r="O778">
        <v>0.6</v>
      </c>
      <c r="P778">
        <v>-14.3856</v>
      </c>
      <c r="Q778" s="1">
        <v>-0.6</v>
      </c>
      <c r="R778" t="s">
        <v>401</v>
      </c>
      <c r="S778" t="s">
        <v>402</v>
      </c>
    </row>
    <row r="779" spans="1:19" x14ac:dyDescent="0.3">
      <c r="A779">
        <v>2724</v>
      </c>
      <c r="B779" t="s">
        <v>1812</v>
      </c>
      <c r="C779">
        <v>2014</v>
      </c>
      <c r="D779" t="s">
        <v>399</v>
      </c>
      <c r="E779" t="s">
        <v>6</v>
      </c>
      <c r="F779" t="s">
        <v>203</v>
      </c>
      <c r="G779" t="s">
        <v>15</v>
      </c>
      <c r="H779" t="s">
        <v>16</v>
      </c>
      <c r="I779" t="s">
        <v>1813</v>
      </c>
      <c r="J779" t="s">
        <v>17</v>
      </c>
      <c r="K779" t="s">
        <v>18</v>
      </c>
      <c r="L779" t="s">
        <v>19</v>
      </c>
      <c r="M779">
        <v>14.45</v>
      </c>
      <c r="N779">
        <v>5</v>
      </c>
      <c r="O779">
        <v>0</v>
      </c>
      <c r="P779">
        <v>6.7915000000000001</v>
      </c>
      <c r="Q779" s="1">
        <v>0.47</v>
      </c>
      <c r="R779" t="s">
        <v>4</v>
      </c>
      <c r="S779" t="s">
        <v>394</v>
      </c>
    </row>
    <row r="780" spans="1:19" x14ac:dyDescent="0.3">
      <c r="A780">
        <v>2730</v>
      </c>
      <c r="B780" t="s">
        <v>1814</v>
      </c>
      <c r="C780">
        <v>2017</v>
      </c>
      <c r="D780" t="s">
        <v>529</v>
      </c>
      <c r="E780" t="s">
        <v>6</v>
      </c>
      <c r="F780" t="s">
        <v>33</v>
      </c>
      <c r="G780" t="s">
        <v>34</v>
      </c>
      <c r="H780" t="s">
        <v>16</v>
      </c>
      <c r="I780" t="s">
        <v>547</v>
      </c>
      <c r="J780" t="s">
        <v>17</v>
      </c>
      <c r="K780" t="s">
        <v>25</v>
      </c>
      <c r="L780" t="s">
        <v>19</v>
      </c>
      <c r="M780">
        <v>6.63</v>
      </c>
      <c r="N780">
        <v>3</v>
      </c>
      <c r="O780">
        <v>0</v>
      </c>
      <c r="P780">
        <v>1.7901</v>
      </c>
      <c r="Q780" s="1">
        <v>0.27</v>
      </c>
      <c r="R780" t="s">
        <v>4</v>
      </c>
      <c r="S780" t="s">
        <v>394</v>
      </c>
    </row>
    <row r="781" spans="1:19" x14ac:dyDescent="0.3">
      <c r="A781">
        <v>2733</v>
      </c>
      <c r="B781" t="s">
        <v>1815</v>
      </c>
      <c r="C781">
        <v>2014</v>
      </c>
      <c r="D781" t="s">
        <v>425</v>
      </c>
      <c r="E781" t="s">
        <v>6</v>
      </c>
      <c r="F781" t="s">
        <v>205</v>
      </c>
      <c r="G781" t="s">
        <v>123</v>
      </c>
      <c r="H781" t="s">
        <v>48</v>
      </c>
      <c r="I781" t="s">
        <v>1087</v>
      </c>
      <c r="J781" t="s">
        <v>26</v>
      </c>
      <c r="K781" t="s">
        <v>27</v>
      </c>
      <c r="L781" t="s">
        <v>19</v>
      </c>
      <c r="M781">
        <v>73.98</v>
      </c>
      <c r="N781">
        <v>2</v>
      </c>
      <c r="O781">
        <v>0</v>
      </c>
      <c r="P781">
        <v>19.974599999999999</v>
      </c>
      <c r="Q781" s="1">
        <v>0.27</v>
      </c>
      <c r="R781" t="s">
        <v>4</v>
      </c>
      <c r="S781" t="s">
        <v>394</v>
      </c>
    </row>
    <row r="782" spans="1:19" x14ac:dyDescent="0.3">
      <c r="A782">
        <v>2735</v>
      </c>
      <c r="B782" t="s">
        <v>1816</v>
      </c>
      <c r="C782">
        <v>2015</v>
      </c>
      <c r="D782" t="s">
        <v>529</v>
      </c>
      <c r="E782" t="s">
        <v>6</v>
      </c>
      <c r="F782" t="s">
        <v>335</v>
      </c>
      <c r="G782" t="s">
        <v>112</v>
      </c>
      <c r="H782" t="s">
        <v>16</v>
      </c>
      <c r="I782" t="s">
        <v>435</v>
      </c>
      <c r="J782" t="s">
        <v>17</v>
      </c>
      <c r="K782" t="s">
        <v>32</v>
      </c>
      <c r="L782" t="s">
        <v>5</v>
      </c>
      <c r="M782">
        <v>49.12</v>
      </c>
      <c r="N782">
        <v>4</v>
      </c>
      <c r="O782">
        <v>0</v>
      </c>
      <c r="P782">
        <v>23.086400000000001</v>
      </c>
      <c r="Q782" s="1">
        <v>0.47</v>
      </c>
      <c r="R782" t="s">
        <v>4</v>
      </c>
      <c r="S782" t="s">
        <v>394</v>
      </c>
    </row>
    <row r="783" spans="1:19" x14ac:dyDescent="0.3">
      <c r="A783">
        <v>2742</v>
      </c>
      <c r="B783" t="s">
        <v>1817</v>
      </c>
      <c r="C783">
        <v>2016</v>
      </c>
      <c r="D783" t="s">
        <v>529</v>
      </c>
      <c r="E783" t="s">
        <v>6</v>
      </c>
      <c r="F783" t="s">
        <v>105</v>
      </c>
      <c r="G783" t="s">
        <v>95</v>
      </c>
      <c r="H783" t="s">
        <v>48</v>
      </c>
      <c r="I783" t="s">
        <v>1655</v>
      </c>
      <c r="J783" t="s">
        <v>17</v>
      </c>
      <c r="K783" t="s">
        <v>51</v>
      </c>
      <c r="L783" t="s">
        <v>5</v>
      </c>
      <c r="M783">
        <v>46.72</v>
      </c>
      <c r="N783">
        <v>5</v>
      </c>
      <c r="O783">
        <v>0.2</v>
      </c>
      <c r="P783">
        <v>17.52</v>
      </c>
      <c r="Q783" s="1">
        <v>0.375</v>
      </c>
      <c r="R783" t="s">
        <v>4</v>
      </c>
      <c r="S783" t="s">
        <v>408</v>
      </c>
    </row>
    <row r="784" spans="1:19" x14ac:dyDescent="0.3">
      <c r="A784">
        <v>2744</v>
      </c>
      <c r="B784" t="s">
        <v>1818</v>
      </c>
      <c r="C784">
        <v>2015</v>
      </c>
      <c r="D784" t="s">
        <v>396</v>
      </c>
      <c r="E784" t="s">
        <v>13</v>
      </c>
      <c r="F784" t="s">
        <v>43</v>
      </c>
      <c r="G784" t="s">
        <v>15</v>
      </c>
      <c r="H784" t="s">
        <v>16</v>
      </c>
      <c r="I784" t="s">
        <v>1819</v>
      </c>
      <c r="J784" t="s">
        <v>10</v>
      </c>
      <c r="K784" t="s">
        <v>24</v>
      </c>
      <c r="L784" t="s">
        <v>5</v>
      </c>
      <c r="M784">
        <v>257.64</v>
      </c>
      <c r="N784">
        <v>6</v>
      </c>
      <c r="O784">
        <v>0</v>
      </c>
      <c r="P784">
        <v>100.4796</v>
      </c>
      <c r="Q784" s="1">
        <v>0.39</v>
      </c>
      <c r="R784" t="s">
        <v>4</v>
      </c>
      <c r="S784" t="s">
        <v>394</v>
      </c>
    </row>
    <row r="785" spans="1:19" x14ac:dyDescent="0.3">
      <c r="A785">
        <v>2746</v>
      </c>
      <c r="B785" t="s">
        <v>1820</v>
      </c>
      <c r="C785">
        <v>2017</v>
      </c>
      <c r="D785" t="s">
        <v>420</v>
      </c>
      <c r="E785" t="s">
        <v>6</v>
      </c>
      <c r="F785" t="s">
        <v>179</v>
      </c>
      <c r="G785" t="s">
        <v>31</v>
      </c>
      <c r="H785" t="s">
        <v>9</v>
      </c>
      <c r="I785" t="s">
        <v>1821</v>
      </c>
      <c r="J785" t="s">
        <v>26</v>
      </c>
      <c r="K785" t="s">
        <v>50</v>
      </c>
      <c r="L785" t="s">
        <v>5</v>
      </c>
      <c r="M785">
        <v>79.992000000000004</v>
      </c>
      <c r="N785">
        <v>1</v>
      </c>
      <c r="O785">
        <v>0.2</v>
      </c>
      <c r="P785">
        <v>21.997800000000002</v>
      </c>
      <c r="Q785" s="1">
        <v>0.27500000000000002</v>
      </c>
      <c r="R785" t="s">
        <v>4</v>
      </c>
      <c r="S785" t="s">
        <v>408</v>
      </c>
    </row>
    <row r="786" spans="1:19" x14ac:dyDescent="0.3">
      <c r="A786">
        <v>2749</v>
      </c>
      <c r="B786" t="s">
        <v>1822</v>
      </c>
      <c r="C786">
        <v>2015</v>
      </c>
      <c r="D786" t="s">
        <v>410</v>
      </c>
      <c r="E786" t="s">
        <v>6</v>
      </c>
      <c r="F786" t="s">
        <v>329</v>
      </c>
      <c r="G786" t="s">
        <v>21</v>
      </c>
      <c r="H786" t="s">
        <v>9</v>
      </c>
      <c r="I786" t="s">
        <v>1823</v>
      </c>
      <c r="J786" t="s">
        <v>17</v>
      </c>
      <c r="K786" t="s">
        <v>28</v>
      </c>
      <c r="L786" t="s">
        <v>19</v>
      </c>
      <c r="M786">
        <v>8.2260000000000009</v>
      </c>
      <c r="N786">
        <v>3</v>
      </c>
      <c r="O786">
        <v>0.7</v>
      </c>
      <c r="P786">
        <v>-6.0324</v>
      </c>
      <c r="Q786" s="1">
        <v>-0.73333333333333295</v>
      </c>
      <c r="R786" t="s">
        <v>401</v>
      </c>
      <c r="S786" t="s">
        <v>402</v>
      </c>
    </row>
    <row r="787" spans="1:19" x14ac:dyDescent="0.3">
      <c r="A787">
        <v>2750</v>
      </c>
      <c r="B787" t="s">
        <v>1824</v>
      </c>
      <c r="C787">
        <v>2014</v>
      </c>
      <c r="D787" t="s">
        <v>396</v>
      </c>
      <c r="E787" t="s">
        <v>6</v>
      </c>
      <c r="F787" t="s">
        <v>33</v>
      </c>
      <c r="G787" t="s">
        <v>34</v>
      </c>
      <c r="H787" t="s">
        <v>16</v>
      </c>
      <c r="I787" t="s">
        <v>1825</v>
      </c>
      <c r="J787" t="s">
        <v>10</v>
      </c>
      <c r="K787" t="s">
        <v>12</v>
      </c>
      <c r="L787" t="s">
        <v>19</v>
      </c>
      <c r="M787">
        <v>585.55200000000002</v>
      </c>
      <c r="N787">
        <v>3</v>
      </c>
      <c r="O787">
        <v>0.2</v>
      </c>
      <c r="P787">
        <v>73.194000000000003</v>
      </c>
      <c r="Q787" s="1">
        <v>0.125</v>
      </c>
      <c r="R787" t="s">
        <v>4</v>
      </c>
      <c r="S787" t="s">
        <v>408</v>
      </c>
    </row>
    <row r="788" spans="1:19" x14ac:dyDescent="0.3">
      <c r="A788">
        <v>2753</v>
      </c>
      <c r="B788" t="s">
        <v>1826</v>
      </c>
      <c r="C788">
        <v>2015</v>
      </c>
      <c r="D788" t="s">
        <v>406</v>
      </c>
      <c r="E788" t="s">
        <v>6</v>
      </c>
      <c r="F788" t="s">
        <v>43</v>
      </c>
      <c r="G788" t="s">
        <v>15</v>
      </c>
      <c r="H788" t="s">
        <v>16</v>
      </c>
      <c r="I788" t="s">
        <v>1827</v>
      </c>
      <c r="J788" t="s">
        <v>17</v>
      </c>
      <c r="K788" t="s">
        <v>25</v>
      </c>
      <c r="L788" t="s">
        <v>19</v>
      </c>
      <c r="M788">
        <v>5.56</v>
      </c>
      <c r="N788">
        <v>2</v>
      </c>
      <c r="O788">
        <v>0</v>
      </c>
      <c r="P788">
        <v>2.2240000000000002</v>
      </c>
      <c r="Q788" s="1">
        <v>0.4</v>
      </c>
      <c r="R788" t="s">
        <v>4</v>
      </c>
      <c r="S788" t="s">
        <v>394</v>
      </c>
    </row>
    <row r="789" spans="1:19" x14ac:dyDescent="0.3">
      <c r="A789">
        <v>2767</v>
      </c>
      <c r="B789" t="s">
        <v>1828</v>
      </c>
      <c r="C789">
        <v>2017</v>
      </c>
      <c r="D789" t="s">
        <v>430</v>
      </c>
      <c r="E789" t="s">
        <v>6</v>
      </c>
      <c r="F789" t="s">
        <v>46</v>
      </c>
      <c r="G789" t="s">
        <v>47</v>
      </c>
      <c r="H789" t="s">
        <v>48</v>
      </c>
      <c r="I789" t="s">
        <v>1829</v>
      </c>
      <c r="J789" t="s">
        <v>17</v>
      </c>
      <c r="K789" t="s">
        <v>29</v>
      </c>
      <c r="L789" t="s">
        <v>53</v>
      </c>
      <c r="M789">
        <v>34.384</v>
      </c>
      <c r="N789">
        <v>1</v>
      </c>
      <c r="O789">
        <v>0.2</v>
      </c>
      <c r="P789">
        <v>3.8681999999999999</v>
      </c>
      <c r="Q789" s="1">
        <v>0.1125</v>
      </c>
      <c r="R789" t="s">
        <v>4</v>
      </c>
      <c r="S789" t="s">
        <v>408</v>
      </c>
    </row>
    <row r="790" spans="1:19" x14ac:dyDescent="0.3">
      <c r="A790">
        <v>2769</v>
      </c>
      <c r="B790" t="s">
        <v>1830</v>
      </c>
      <c r="C790">
        <v>2015</v>
      </c>
      <c r="D790" t="s">
        <v>406</v>
      </c>
      <c r="E790" t="s">
        <v>6</v>
      </c>
      <c r="F790" t="s">
        <v>126</v>
      </c>
      <c r="G790" t="s">
        <v>37</v>
      </c>
      <c r="H790" t="s">
        <v>38</v>
      </c>
      <c r="I790" t="s">
        <v>1831</v>
      </c>
      <c r="J790" t="s">
        <v>17</v>
      </c>
      <c r="K790" t="s">
        <v>29</v>
      </c>
      <c r="L790" t="s">
        <v>19</v>
      </c>
      <c r="M790">
        <v>32.192</v>
      </c>
      <c r="N790">
        <v>2</v>
      </c>
      <c r="O790">
        <v>0.8</v>
      </c>
      <c r="P790">
        <v>-80.48</v>
      </c>
      <c r="Q790" s="1">
        <v>-2.5</v>
      </c>
      <c r="R790" t="s">
        <v>401</v>
      </c>
      <c r="S790" t="s">
        <v>402</v>
      </c>
    </row>
    <row r="791" spans="1:19" x14ac:dyDescent="0.3">
      <c r="A791">
        <v>2778</v>
      </c>
      <c r="B791" t="s">
        <v>1832</v>
      </c>
      <c r="C791">
        <v>2015</v>
      </c>
      <c r="D791" t="s">
        <v>425</v>
      </c>
      <c r="E791" t="s">
        <v>6</v>
      </c>
      <c r="F791" t="s">
        <v>337</v>
      </c>
      <c r="G791" t="s">
        <v>15</v>
      </c>
      <c r="H791" t="s">
        <v>16</v>
      </c>
      <c r="I791" t="s">
        <v>1833</v>
      </c>
      <c r="J791" t="s">
        <v>10</v>
      </c>
      <c r="K791" t="s">
        <v>11</v>
      </c>
      <c r="L791" t="s">
        <v>5</v>
      </c>
      <c r="M791">
        <v>195.46600000000001</v>
      </c>
      <c r="N791">
        <v>2</v>
      </c>
      <c r="O791">
        <v>0.15</v>
      </c>
      <c r="P791">
        <v>-13.797599999999999</v>
      </c>
      <c r="Q791" s="1">
        <v>-7.0588235294117604E-2</v>
      </c>
      <c r="R791" t="s">
        <v>401</v>
      </c>
      <c r="S791" t="s">
        <v>408</v>
      </c>
    </row>
    <row r="792" spans="1:19" x14ac:dyDescent="0.3">
      <c r="A792">
        <v>2785</v>
      </c>
      <c r="B792" t="s">
        <v>1834</v>
      </c>
      <c r="C792">
        <v>2016</v>
      </c>
      <c r="D792" t="s">
        <v>399</v>
      </c>
      <c r="E792" t="s">
        <v>13</v>
      </c>
      <c r="F792" t="s">
        <v>69</v>
      </c>
      <c r="G792" t="s">
        <v>95</v>
      </c>
      <c r="H792" t="s">
        <v>48</v>
      </c>
      <c r="I792" t="s">
        <v>1503</v>
      </c>
      <c r="J792" t="s">
        <v>26</v>
      </c>
      <c r="K792" t="s">
        <v>27</v>
      </c>
      <c r="L792" t="s">
        <v>19</v>
      </c>
      <c r="M792">
        <v>23.975999999999999</v>
      </c>
      <c r="N792">
        <v>4</v>
      </c>
      <c r="O792">
        <v>0.4</v>
      </c>
      <c r="P792">
        <v>-15.5844</v>
      </c>
      <c r="Q792" s="1">
        <v>-0.65</v>
      </c>
      <c r="R792" t="s">
        <v>401</v>
      </c>
      <c r="S792" t="s">
        <v>402</v>
      </c>
    </row>
    <row r="793" spans="1:19" x14ac:dyDescent="0.3">
      <c r="A793">
        <v>2794</v>
      </c>
      <c r="B793" t="s">
        <v>1835</v>
      </c>
      <c r="C793">
        <v>2014</v>
      </c>
      <c r="D793" t="s">
        <v>406</v>
      </c>
      <c r="E793" t="s">
        <v>13</v>
      </c>
      <c r="F793" t="s">
        <v>338</v>
      </c>
      <c r="G793" t="s">
        <v>15</v>
      </c>
      <c r="H793" t="s">
        <v>16</v>
      </c>
      <c r="I793" t="s">
        <v>1695</v>
      </c>
      <c r="J793" t="s">
        <v>26</v>
      </c>
      <c r="K793" t="s">
        <v>27</v>
      </c>
      <c r="L793" t="s">
        <v>19</v>
      </c>
      <c r="M793">
        <v>1075.088</v>
      </c>
      <c r="N793">
        <v>14</v>
      </c>
      <c r="O793">
        <v>0.2</v>
      </c>
      <c r="P793">
        <v>94.0702</v>
      </c>
      <c r="Q793" s="1">
        <v>8.7499999999999994E-2</v>
      </c>
      <c r="R793" t="s">
        <v>4</v>
      </c>
      <c r="S793" t="s">
        <v>408</v>
      </c>
    </row>
    <row r="794" spans="1:19" x14ac:dyDescent="0.3">
      <c r="A794">
        <v>2801</v>
      </c>
      <c r="B794" t="s">
        <v>1836</v>
      </c>
      <c r="C794">
        <v>2016</v>
      </c>
      <c r="D794" t="s">
        <v>399</v>
      </c>
      <c r="E794" t="s">
        <v>13</v>
      </c>
      <c r="F794" t="s">
        <v>170</v>
      </c>
      <c r="G794" t="s">
        <v>21</v>
      </c>
      <c r="H794" t="s">
        <v>9</v>
      </c>
      <c r="I794" t="s">
        <v>816</v>
      </c>
      <c r="J794" t="s">
        <v>26</v>
      </c>
      <c r="K794" t="s">
        <v>27</v>
      </c>
      <c r="L794" t="s">
        <v>53</v>
      </c>
      <c r="M794">
        <v>783.96</v>
      </c>
      <c r="N794">
        <v>5</v>
      </c>
      <c r="O794">
        <v>0.2</v>
      </c>
      <c r="P794">
        <v>78.396000000000001</v>
      </c>
      <c r="Q794" s="1">
        <v>0.1</v>
      </c>
      <c r="R794" t="s">
        <v>4</v>
      </c>
      <c r="S794" t="s">
        <v>408</v>
      </c>
    </row>
    <row r="795" spans="1:19" x14ac:dyDescent="0.3">
      <c r="A795">
        <v>2804</v>
      </c>
      <c r="B795" t="s">
        <v>1837</v>
      </c>
      <c r="C795">
        <v>2015</v>
      </c>
      <c r="D795" t="s">
        <v>417</v>
      </c>
      <c r="E795" t="s">
        <v>6</v>
      </c>
      <c r="F795" t="s">
        <v>43</v>
      </c>
      <c r="G795" t="s">
        <v>15</v>
      </c>
      <c r="H795" t="s">
        <v>16</v>
      </c>
      <c r="I795" t="s">
        <v>1838</v>
      </c>
      <c r="J795" t="s">
        <v>17</v>
      </c>
      <c r="K795" t="s">
        <v>32</v>
      </c>
      <c r="L795" t="s">
        <v>19</v>
      </c>
      <c r="M795">
        <v>12.84</v>
      </c>
      <c r="N795">
        <v>3</v>
      </c>
      <c r="O795">
        <v>0</v>
      </c>
      <c r="P795">
        <v>5.7779999999999996</v>
      </c>
      <c r="Q795" s="1">
        <v>0.45</v>
      </c>
      <c r="R795" t="s">
        <v>4</v>
      </c>
      <c r="S795" t="s">
        <v>394</v>
      </c>
    </row>
    <row r="796" spans="1:19" x14ac:dyDescent="0.3">
      <c r="A796">
        <v>2825</v>
      </c>
      <c r="B796" t="s">
        <v>1839</v>
      </c>
      <c r="C796">
        <v>2014</v>
      </c>
      <c r="D796" t="s">
        <v>428</v>
      </c>
      <c r="E796" t="s">
        <v>35</v>
      </c>
      <c r="F796" t="s">
        <v>52</v>
      </c>
      <c r="G796" t="s">
        <v>37</v>
      </c>
      <c r="H796" t="s">
        <v>38</v>
      </c>
      <c r="I796" t="s">
        <v>1840</v>
      </c>
      <c r="J796" t="s">
        <v>17</v>
      </c>
      <c r="K796" t="s">
        <v>32</v>
      </c>
      <c r="L796" t="s">
        <v>19</v>
      </c>
      <c r="M796">
        <v>33.792000000000002</v>
      </c>
      <c r="N796">
        <v>8</v>
      </c>
      <c r="O796">
        <v>0.2</v>
      </c>
      <c r="P796">
        <v>10.56</v>
      </c>
      <c r="Q796" s="1">
        <v>0.3125</v>
      </c>
      <c r="R796" t="s">
        <v>4</v>
      </c>
      <c r="S796" t="s">
        <v>408</v>
      </c>
    </row>
    <row r="797" spans="1:19" x14ac:dyDescent="0.3">
      <c r="A797">
        <v>2834</v>
      </c>
      <c r="B797" t="s">
        <v>1841</v>
      </c>
      <c r="C797">
        <v>2017</v>
      </c>
      <c r="D797" t="s">
        <v>430</v>
      </c>
      <c r="E797" t="s">
        <v>13</v>
      </c>
      <c r="F797" t="s">
        <v>336</v>
      </c>
      <c r="G797" t="s">
        <v>79</v>
      </c>
      <c r="H797" t="s">
        <v>9</v>
      </c>
      <c r="I797" t="s">
        <v>547</v>
      </c>
      <c r="J797" t="s">
        <v>17</v>
      </c>
      <c r="K797" t="s">
        <v>25</v>
      </c>
      <c r="L797" t="s">
        <v>5</v>
      </c>
      <c r="M797">
        <v>15.47</v>
      </c>
      <c r="N797">
        <v>7</v>
      </c>
      <c r="O797">
        <v>0</v>
      </c>
      <c r="P797">
        <v>4.1768999999999998</v>
      </c>
      <c r="Q797" s="1">
        <v>0.27</v>
      </c>
      <c r="R797" t="s">
        <v>4</v>
      </c>
      <c r="S797" t="s">
        <v>394</v>
      </c>
    </row>
    <row r="798" spans="1:19" x14ac:dyDescent="0.3">
      <c r="A798">
        <v>2844</v>
      </c>
      <c r="B798" t="s">
        <v>1842</v>
      </c>
      <c r="C798">
        <v>2017</v>
      </c>
      <c r="D798" t="s">
        <v>417</v>
      </c>
      <c r="E798" t="s">
        <v>6</v>
      </c>
      <c r="F798" t="s">
        <v>46</v>
      </c>
      <c r="G798" t="s">
        <v>47</v>
      </c>
      <c r="H798" t="s">
        <v>48</v>
      </c>
      <c r="I798" t="s">
        <v>1770</v>
      </c>
      <c r="J798" t="s">
        <v>26</v>
      </c>
      <c r="K798" t="s">
        <v>50</v>
      </c>
      <c r="L798" t="s">
        <v>19</v>
      </c>
      <c r="M798">
        <v>36.048000000000002</v>
      </c>
      <c r="N798">
        <v>3</v>
      </c>
      <c r="O798">
        <v>0.2</v>
      </c>
      <c r="P798">
        <v>-0.9012</v>
      </c>
      <c r="Q798" s="1">
        <v>-2.5000000000000001E-2</v>
      </c>
      <c r="R798" t="s">
        <v>401</v>
      </c>
      <c r="S798" t="s">
        <v>408</v>
      </c>
    </row>
    <row r="799" spans="1:19" x14ac:dyDescent="0.3">
      <c r="A799">
        <v>2845</v>
      </c>
      <c r="B799" t="s">
        <v>1843</v>
      </c>
      <c r="C799">
        <v>2016</v>
      </c>
      <c r="D799" t="s">
        <v>410</v>
      </c>
      <c r="E799" t="s">
        <v>13</v>
      </c>
      <c r="F799" t="s">
        <v>332</v>
      </c>
      <c r="G799" t="s">
        <v>56</v>
      </c>
      <c r="H799" t="s">
        <v>38</v>
      </c>
      <c r="I799" t="s">
        <v>870</v>
      </c>
      <c r="J799" t="s">
        <v>10</v>
      </c>
      <c r="K799" t="s">
        <v>12</v>
      </c>
      <c r="L799" t="s">
        <v>19</v>
      </c>
      <c r="M799">
        <v>845.48800000000006</v>
      </c>
      <c r="N799">
        <v>8</v>
      </c>
      <c r="O799">
        <v>0.3</v>
      </c>
      <c r="P799">
        <v>-12.0784</v>
      </c>
      <c r="Q799" s="1">
        <v>-1.4285714285714299E-2</v>
      </c>
      <c r="R799" t="s">
        <v>401</v>
      </c>
      <c r="S799" t="s">
        <v>402</v>
      </c>
    </row>
    <row r="800" spans="1:19" x14ac:dyDescent="0.3">
      <c r="A800">
        <v>2848</v>
      </c>
      <c r="B800" t="s">
        <v>1844</v>
      </c>
      <c r="C800">
        <v>2017</v>
      </c>
      <c r="D800" t="s">
        <v>406</v>
      </c>
      <c r="E800" t="s">
        <v>13</v>
      </c>
      <c r="F800" t="s">
        <v>248</v>
      </c>
      <c r="G800" t="s">
        <v>157</v>
      </c>
      <c r="H800" t="s">
        <v>9</v>
      </c>
      <c r="I800" t="s">
        <v>1845</v>
      </c>
      <c r="J800" t="s">
        <v>10</v>
      </c>
      <c r="K800" t="s">
        <v>24</v>
      </c>
      <c r="L800" t="s">
        <v>19</v>
      </c>
      <c r="M800">
        <v>56.28</v>
      </c>
      <c r="N800">
        <v>6</v>
      </c>
      <c r="O800">
        <v>0</v>
      </c>
      <c r="P800">
        <v>15.7584</v>
      </c>
      <c r="Q800" s="1">
        <v>0.28000000000000003</v>
      </c>
      <c r="R800" t="s">
        <v>4</v>
      </c>
      <c r="S800" t="s">
        <v>394</v>
      </c>
    </row>
    <row r="801" spans="1:19" x14ac:dyDescent="0.3">
      <c r="A801">
        <v>2851</v>
      </c>
      <c r="B801" t="s">
        <v>1846</v>
      </c>
      <c r="C801">
        <v>2016</v>
      </c>
      <c r="D801" t="s">
        <v>396</v>
      </c>
      <c r="E801" t="s">
        <v>13</v>
      </c>
      <c r="F801" t="s">
        <v>46</v>
      </c>
      <c r="G801" t="s">
        <v>47</v>
      </c>
      <c r="H801" t="s">
        <v>48</v>
      </c>
      <c r="I801" t="s">
        <v>938</v>
      </c>
      <c r="J801" t="s">
        <v>17</v>
      </c>
      <c r="K801" t="s">
        <v>23</v>
      </c>
      <c r="L801" t="s">
        <v>53</v>
      </c>
      <c r="M801">
        <v>64.784000000000006</v>
      </c>
      <c r="N801">
        <v>1</v>
      </c>
      <c r="O801">
        <v>0.2</v>
      </c>
      <c r="P801">
        <v>-12.956799999999999</v>
      </c>
      <c r="Q801" s="1">
        <v>-0.2</v>
      </c>
      <c r="R801" t="s">
        <v>401</v>
      </c>
      <c r="S801" t="s">
        <v>408</v>
      </c>
    </row>
    <row r="802" spans="1:19" x14ac:dyDescent="0.3">
      <c r="A802">
        <v>2856</v>
      </c>
      <c r="B802" t="s">
        <v>1847</v>
      </c>
      <c r="C802">
        <v>2017</v>
      </c>
      <c r="D802" t="s">
        <v>425</v>
      </c>
      <c r="E802" t="s">
        <v>6</v>
      </c>
      <c r="F802" t="s">
        <v>321</v>
      </c>
      <c r="G802" t="s">
        <v>322</v>
      </c>
      <c r="H802" t="s">
        <v>38</v>
      </c>
      <c r="I802" t="s">
        <v>1848</v>
      </c>
      <c r="J802" t="s">
        <v>17</v>
      </c>
      <c r="K802" t="s">
        <v>18</v>
      </c>
      <c r="L802" t="s">
        <v>19</v>
      </c>
      <c r="M802">
        <v>20.23</v>
      </c>
      <c r="N802">
        <v>7</v>
      </c>
      <c r="O802">
        <v>0</v>
      </c>
      <c r="P802">
        <v>9.5081000000000007</v>
      </c>
      <c r="Q802" s="1">
        <v>0.47</v>
      </c>
      <c r="R802" t="s">
        <v>4</v>
      </c>
      <c r="S802" t="s">
        <v>394</v>
      </c>
    </row>
    <row r="803" spans="1:19" x14ac:dyDescent="0.3">
      <c r="A803">
        <v>2863</v>
      </c>
      <c r="B803" t="s">
        <v>1849</v>
      </c>
      <c r="C803">
        <v>2017</v>
      </c>
      <c r="D803" t="s">
        <v>420</v>
      </c>
      <c r="E803" t="s">
        <v>6</v>
      </c>
      <c r="F803" t="s">
        <v>339</v>
      </c>
      <c r="G803" t="s">
        <v>21</v>
      </c>
      <c r="H803" t="s">
        <v>9</v>
      </c>
      <c r="I803" t="s">
        <v>1850</v>
      </c>
      <c r="J803" t="s">
        <v>17</v>
      </c>
      <c r="K803" t="s">
        <v>32</v>
      </c>
      <c r="L803" t="s">
        <v>19</v>
      </c>
      <c r="M803">
        <v>20.736000000000001</v>
      </c>
      <c r="N803">
        <v>4</v>
      </c>
      <c r="O803">
        <v>0.2</v>
      </c>
      <c r="P803">
        <v>7.2576000000000001</v>
      </c>
      <c r="Q803" s="1">
        <v>0.35</v>
      </c>
      <c r="R803" t="s">
        <v>4</v>
      </c>
      <c r="S803" t="s">
        <v>408</v>
      </c>
    </row>
    <row r="804" spans="1:19" x14ac:dyDescent="0.3">
      <c r="A804">
        <v>2864</v>
      </c>
      <c r="B804" t="s">
        <v>1851</v>
      </c>
      <c r="C804">
        <v>2017</v>
      </c>
      <c r="D804" t="s">
        <v>420</v>
      </c>
      <c r="E804" t="s">
        <v>6</v>
      </c>
      <c r="F804" t="s">
        <v>43</v>
      </c>
      <c r="G804" t="s">
        <v>15</v>
      </c>
      <c r="H804" t="s">
        <v>16</v>
      </c>
      <c r="I804" t="s">
        <v>818</v>
      </c>
      <c r="J804" t="s">
        <v>17</v>
      </c>
      <c r="K804" t="s">
        <v>23</v>
      </c>
      <c r="L804" t="s">
        <v>158</v>
      </c>
      <c r="M804">
        <v>31.44</v>
      </c>
      <c r="N804">
        <v>3</v>
      </c>
      <c r="O804">
        <v>0</v>
      </c>
      <c r="P804">
        <v>8.4887999999999995</v>
      </c>
      <c r="Q804" s="1">
        <v>0.27</v>
      </c>
      <c r="R804" t="s">
        <v>4</v>
      </c>
      <c r="S804" t="s">
        <v>394</v>
      </c>
    </row>
    <row r="805" spans="1:19" x14ac:dyDescent="0.3">
      <c r="A805">
        <v>2876</v>
      </c>
      <c r="B805" t="s">
        <v>1852</v>
      </c>
      <c r="C805">
        <v>2016</v>
      </c>
      <c r="D805" t="s">
        <v>430</v>
      </c>
      <c r="E805" t="s">
        <v>6</v>
      </c>
      <c r="F805" t="s">
        <v>134</v>
      </c>
      <c r="G805" t="s">
        <v>15</v>
      </c>
      <c r="H805" t="s">
        <v>16</v>
      </c>
      <c r="I805" t="s">
        <v>1626</v>
      </c>
      <c r="J805" t="s">
        <v>10</v>
      </c>
      <c r="K805" t="s">
        <v>12</v>
      </c>
      <c r="L805" t="s">
        <v>5</v>
      </c>
      <c r="M805">
        <v>153.56800000000001</v>
      </c>
      <c r="N805">
        <v>2</v>
      </c>
      <c r="O805">
        <v>0.2</v>
      </c>
      <c r="P805">
        <v>-5.7587999999999999</v>
      </c>
      <c r="Q805" s="1">
        <v>-3.7499999999999999E-2</v>
      </c>
      <c r="R805" t="s">
        <v>401</v>
      </c>
      <c r="S805" t="s">
        <v>408</v>
      </c>
    </row>
    <row r="806" spans="1:19" x14ac:dyDescent="0.3">
      <c r="A806">
        <v>2878</v>
      </c>
      <c r="B806" t="s">
        <v>1853</v>
      </c>
      <c r="C806">
        <v>2016</v>
      </c>
      <c r="D806" t="s">
        <v>430</v>
      </c>
      <c r="E806" t="s">
        <v>35</v>
      </c>
      <c r="F806" t="s">
        <v>122</v>
      </c>
      <c r="G806" t="s">
        <v>123</v>
      </c>
      <c r="H806" t="s">
        <v>48</v>
      </c>
      <c r="I806" t="s">
        <v>1854</v>
      </c>
      <c r="J806" t="s">
        <v>17</v>
      </c>
      <c r="K806" t="s">
        <v>51</v>
      </c>
      <c r="L806" t="s">
        <v>19</v>
      </c>
      <c r="M806">
        <v>52.34</v>
      </c>
      <c r="N806">
        <v>2</v>
      </c>
      <c r="O806">
        <v>0</v>
      </c>
      <c r="P806">
        <v>24.599799999999998</v>
      </c>
      <c r="Q806" s="1">
        <v>0.47</v>
      </c>
      <c r="R806" t="s">
        <v>4</v>
      </c>
      <c r="S806" t="s">
        <v>394</v>
      </c>
    </row>
    <row r="807" spans="1:19" x14ac:dyDescent="0.3">
      <c r="A807">
        <v>2883</v>
      </c>
      <c r="B807" t="s">
        <v>1855</v>
      </c>
      <c r="C807">
        <v>2014</v>
      </c>
      <c r="D807" t="s">
        <v>529</v>
      </c>
      <c r="E807" t="s">
        <v>6</v>
      </c>
      <c r="F807" t="s">
        <v>332</v>
      </c>
      <c r="G807" t="s">
        <v>56</v>
      </c>
      <c r="H807" t="s">
        <v>38</v>
      </c>
      <c r="I807" t="s">
        <v>1624</v>
      </c>
      <c r="J807" t="s">
        <v>17</v>
      </c>
      <c r="K807" t="s">
        <v>28</v>
      </c>
      <c r="L807" t="s">
        <v>19</v>
      </c>
      <c r="M807">
        <v>8.85</v>
      </c>
      <c r="N807">
        <v>5</v>
      </c>
      <c r="O807">
        <v>0.8</v>
      </c>
      <c r="P807">
        <v>-13.717499999999999</v>
      </c>
      <c r="Q807" s="1">
        <v>-1.55</v>
      </c>
      <c r="R807" t="s">
        <v>401</v>
      </c>
      <c r="S807" t="s">
        <v>402</v>
      </c>
    </row>
    <row r="808" spans="1:19" x14ac:dyDescent="0.3">
      <c r="A808">
        <v>2885</v>
      </c>
      <c r="B808" t="s">
        <v>1856</v>
      </c>
      <c r="C808">
        <v>2016</v>
      </c>
      <c r="D808" t="s">
        <v>430</v>
      </c>
      <c r="E808" t="s">
        <v>6</v>
      </c>
      <c r="F808" t="s">
        <v>43</v>
      </c>
      <c r="G808" t="s">
        <v>15</v>
      </c>
      <c r="H808" t="s">
        <v>16</v>
      </c>
      <c r="I808" t="s">
        <v>971</v>
      </c>
      <c r="J808" t="s">
        <v>17</v>
      </c>
      <c r="K808" t="s">
        <v>28</v>
      </c>
      <c r="L808" t="s">
        <v>19</v>
      </c>
      <c r="M808">
        <v>17.456</v>
      </c>
      <c r="N808">
        <v>2</v>
      </c>
      <c r="O808">
        <v>0.2</v>
      </c>
      <c r="P808">
        <v>5.8914</v>
      </c>
      <c r="Q808" s="1">
        <v>0.33750000000000002</v>
      </c>
      <c r="R808" t="s">
        <v>4</v>
      </c>
      <c r="S808" t="s">
        <v>408</v>
      </c>
    </row>
    <row r="809" spans="1:19" x14ac:dyDescent="0.3">
      <c r="A809">
        <v>2886</v>
      </c>
      <c r="B809" t="s">
        <v>1857</v>
      </c>
      <c r="C809">
        <v>2016</v>
      </c>
      <c r="D809" t="s">
        <v>399</v>
      </c>
      <c r="E809" t="s">
        <v>6</v>
      </c>
      <c r="F809" t="s">
        <v>277</v>
      </c>
      <c r="G809" t="s">
        <v>72</v>
      </c>
      <c r="H809" t="s">
        <v>16</v>
      </c>
      <c r="I809" t="s">
        <v>751</v>
      </c>
      <c r="J809" t="s">
        <v>10</v>
      </c>
      <c r="K809" t="s">
        <v>12</v>
      </c>
      <c r="L809" t="s">
        <v>19</v>
      </c>
      <c r="M809">
        <v>307.92</v>
      </c>
      <c r="N809">
        <v>5</v>
      </c>
      <c r="O809">
        <v>0.2</v>
      </c>
      <c r="P809">
        <v>-34.640999999999998</v>
      </c>
      <c r="Q809" s="1">
        <v>-0.1125</v>
      </c>
      <c r="R809" t="s">
        <v>401</v>
      </c>
      <c r="S809" t="s">
        <v>408</v>
      </c>
    </row>
    <row r="810" spans="1:19" x14ac:dyDescent="0.3">
      <c r="A810">
        <v>2890</v>
      </c>
      <c r="B810" t="s">
        <v>1858</v>
      </c>
      <c r="C810">
        <v>2017</v>
      </c>
      <c r="D810" t="s">
        <v>392</v>
      </c>
      <c r="E810" t="s">
        <v>13</v>
      </c>
      <c r="F810" t="s">
        <v>33</v>
      </c>
      <c r="G810" t="s">
        <v>34</v>
      </c>
      <c r="H810" t="s">
        <v>16</v>
      </c>
      <c r="I810" t="s">
        <v>1859</v>
      </c>
      <c r="J810" t="s">
        <v>17</v>
      </c>
      <c r="K810" t="s">
        <v>32</v>
      </c>
      <c r="L810" t="s">
        <v>19</v>
      </c>
      <c r="M810">
        <v>23.85</v>
      </c>
      <c r="N810">
        <v>5</v>
      </c>
      <c r="O810">
        <v>0</v>
      </c>
      <c r="P810">
        <v>10.7325</v>
      </c>
      <c r="Q810" s="1">
        <v>0.45</v>
      </c>
      <c r="R810" t="s">
        <v>4</v>
      </c>
      <c r="S810" t="s">
        <v>394</v>
      </c>
    </row>
    <row r="811" spans="1:19" x14ac:dyDescent="0.3">
      <c r="A811">
        <v>2897</v>
      </c>
      <c r="B811" t="s">
        <v>1860</v>
      </c>
      <c r="C811">
        <v>2014</v>
      </c>
      <c r="D811" t="s">
        <v>447</v>
      </c>
      <c r="E811" t="s">
        <v>6</v>
      </c>
      <c r="F811" t="s">
        <v>149</v>
      </c>
      <c r="G811" t="s">
        <v>67</v>
      </c>
      <c r="H811" t="s">
        <v>48</v>
      </c>
      <c r="I811" t="s">
        <v>1861</v>
      </c>
      <c r="J811" t="s">
        <v>17</v>
      </c>
      <c r="K811" t="s">
        <v>25</v>
      </c>
      <c r="L811" t="s">
        <v>19</v>
      </c>
      <c r="M811">
        <v>49.65</v>
      </c>
      <c r="N811">
        <v>5</v>
      </c>
      <c r="O811">
        <v>0</v>
      </c>
      <c r="P811">
        <v>20.853000000000002</v>
      </c>
      <c r="Q811" s="1">
        <v>0.42</v>
      </c>
      <c r="R811" t="s">
        <v>4</v>
      </c>
      <c r="S811" t="s">
        <v>394</v>
      </c>
    </row>
    <row r="812" spans="1:19" x14ac:dyDescent="0.3">
      <c r="A812">
        <v>2898</v>
      </c>
      <c r="B812" t="s">
        <v>1862</v>
      </c>
      <c r="C812">
        <v>2016</v>
      </c>
      <c r="D812" t="s">
        <v>430</v>
      </c>
      <c r="E812" t="s">
        <v>13</v>
      </c>
      <c r="F812" t="s">
        <v>90</v>
      </c>
      <c r="G812" t="s">
        <v>31</v>
      </c>
      <c r="H812" t="s">
        <v>9</v>
      </c>
      <c r="I812" t="s">
        <v>1863</v>
      </c>
      <c r="J812" t="s">
        <v>26</v>
      </c>
      <c r="K812" t="s">
        <v>152</v>
      </c>
      <c r="L812" t="s">
        <v>19</v>
      </c>
      <c r="M812">
        <v>959.96799999999996</v>
      </c>
      <c r="N812">
        <v>4</v>
      </c>
      <c r="O812">
        <v>0.2</v>
      </c>
      <c r="P812">
        <v>119.996</v>
      </c>
      <c r="Q812" s="1">
        <v>0.125</v>
      </c>
      <c r="R812" t="s">
        <v>4</v>
      </c>
      <c r="S812" t="s">
        <v>408</v>
      </c>
    </row>
    <row r="813" spans="1:19" x14ac:dyDescent="0.3">
      <c r="A813">
        <v>2900</v>
      </c>
      <c r="B813" t="s">
        <v>1864</v>
      </c>
      <c r="C813">
        <v>2015</v>
      </c>
      <c r="D813" t="s">
        <v>428</v>
      </c>
      <c r="E813" t="s">
        <v>6</v>
      </c>
      <c r="F813" t="s">
        <v>66</v>
      </c>
      <c r="G813" t="s">
        <v>67</v>
      </c>
      <c r="H813" t="s">
        <v>48</v>
      </c>
      <c r="I813" t="s">
        <v>1863</v>
      </c>
      <c r="J813" t="s">
        <v>26</v>
      </c>
      <c r="K813" t="s">
        <v>152</v>
      </c>
      <c r="L813" t="s">
        <v>19</v>
      </c>
      <c r="M813">
        <v>479.98399999999998</v>
      </c>
      <c r="N813">
        <v>2</v>
      </c>
      <c r="O813">
        <v>0.2</v>
      </c>
      <c r="P813">
        <v>59.997999999999998</v>
      </c>
      <c r="Q813" s="1">
        <v>0.125</v>
      </c>
      <c r="R813" t="s">
        <v>4</v>
      </c>
      <c r="S813" t="s">
        <v>408</v>
      </c>
    </row>
    <row r="814" spans="1:19" x14ac:dyDescent="0.3">
      <c r="A814">
        <v>2904</v>
      </c>
      <c r="B814" t="s">
        <v>1865</v>
      </c>
      <c r="C814">
        <v>2016</v>
      </c>
      <c r="D814" t="s">
        <v>396</v>
      </c>
      <c r="E814" t="s">
        <v>13</v>
      </c>
      <c r="F814" t="s">
        <v>340</v>
      </c>
      <c r="G814" t="s">
        <v>56</v>
      </c>
      <c r="H814" t="s">
        <v>38</v>
      </c>
      <c r="I814" t="s">
        <v>1866</v>
      </c>
      <c r="J814" t="s">
        <v>17</v>
      </c>
      <c r="K814" t="s">
        <v>32</v>
      </c>
      <c r="L814" t="s">
        <v>19</v>
      </c>
      <c r="M814">
        <v>37.463999999999999</v>
      </c>
      <c r="N814">
        <v>7</v>
      </c>
      <c r="O814">
        <v>0.2</v>
      </c>
      <c r="P814">
        <v>12.175800000000001</v>
      </c>
      <c r="Q814" s="1">
        <v>0.32500000000000001</v>
      </c>
      <c r="R814" t="s">
        <v>4</v>
      </c>
      <c r="S814" t="s">
        <v>408</v>
      </c>
    </row>
    <row r="815" spans="1:19" x14ac:dyDescent="0.3">
      <c r="A815">
        <v>2919</v>
      </c>
      <c r="B815" t="s">
        <v>1867</v>
      </c>
      <c r="C815">
        <v>2016</v>
      </c>
      <c r="D815" t="s">
        <v>392</v>
      </c>
      <c r="E815" t="s">
        <v>13</v>
      </c>
      <c r="F815" t="s">
        <v>46</v>
      </c>
      <c r="G815" t="s">
        <v>47</v>
      </c>
      <c r="H815" t="s">
        <v>48</v>
      </c>
      <c r="I815" t="s">
        <v>1868</v>
      </c>
      <c r="J815" t="s">
        <v>17</v>
      </c>
      <c r="K815" t="s">
        <v>68</v>
      </c>
      <c r="L815" t="s">
        <v>158</v>
      </c>
      <c r="M815">
        <v>15.8</v>
      </c>
      <c r="N815">
        <v>5</v>
      </c>
      <c r="O815">
        <v>0.2</v>
      </c>
      <c r="P815">
        <v>2.37</v>
      </c>
      <c r="Q815" s="1">
        <v>0.15</v>
      </c>
      <c r="R815" t="s">
        <v>4</v>
      </c>
      <c r="S815" t="s">
        <v>408</v>
      </c>
    </row>
    <row r="816" spans="1:19" x14ac:dyDescent="0.3">
      <c r="A816">
        <v>2925</v>
      </c>
      <c r="B816" t="s">
        <v>1869</v>
      </c>
      <c r="C816">
        <v>2014</v>
      </c>
      <c r="D816" t="s">
        <v>428</v>
      </c>
      <c r="E816" t="s">
        <v>6</v>
      </c>
      <c r="F816" t="s">
        <v>280</v>
      </c>
      <c r="G816" t="s">
        <v>67</v>
      </c>
      <c r="H816" t="s">
        <v>48</v>
      </c>
      <c r="I816" t="s">
        <v>1870</v>
      </c>
      <c r="J816" t="s">
        <v>17</v>
      </c>
      <c r="K816" t="s">
        <v>29</v>
      </c>
      <c r="L816" t="s">
        <v>53</v>
      </c>
      <c r="M816">
        <v>19.899999999999999</v>
      </c>
      <c r="N816">
        <v>1</v>
      </c>
      <c r="O816">
        <v>0</v>
      </c>
      <c r="P816">
        <v>8.9550000000000001</v>
      </c>
      <c r="Q816" s="1">
        <v>0.45</v>
      </c>
      <c r="R816" t="s">
        <v>4</v>
      </c>
      <c r="S816" t="s">
        <v>394</v>
      </c>
    </row>
    <row r="817" spans="1:19" x14ac:dyDescent="0.3">
      <c r="A817">
        <v>2927</v>
      </c>
      <c r="B817" t="s">
        <v>1871</v>
      </c>
      <c r="C817">
        <v>2017</v>
      </c>
      <c r="D817" t="s">
        <v>425</v>
      </c>
      <c r="E817" t="s">
        <v>6</v>
      </c>
      <c r="F817" t="s">
        <v>94</v>
      </c>
      <c r="G817" t="s">
        <v>157</v>
      </c>
      <c r="H817" t="s">
        <v>9</v>
      </c>
      <c r="I817" t="s">
        <v>1872</v>
      </c>
      <c r="J817" t="s">
        <v>10</v>
      </c>
      <c r="K817" t="s">
        <v>24</v>
      </c>
      <c r="L817" t="s">
        <v>5</v>
      </c>
      <c r="M817">
        <v>18.84</v>
      </c>
      <c r="N817">
        <v>3</v>
      </c>
      <c r="O817">
        <v>0</v>
      </c>
      <c r="P817">
        <v>7.9127999999999998</v>
      </c>
      <c r="Q817" s="1">
        <v>0.42</v>
      </c>
      <c r="R817" t="s">
        <v>4</v>
      </c>
      <c r="S817" t="s">
        <v>394</v>
      </c>
    </row>
    <row r="818" spans="1:19" x14ac:dyDescent="0.3">
      <c r="A818">
        <v>2931</v>
      </c>
      <c r="B818" t="s">
        <v>1873</v>
      </c>
      <c r="C818">
        <v>2015</v>
      </c>
      <c r="D818" t="s">
        <v>420</v>
      </c>
      <c r="E818" t="s">
        <v>6</v>
      </c>
      <c r="F818" t="s">
        <v>43</v>
      </c>
      <c r="G818" t="s">
        <v>15</v>
      </c>
      <c r="H818" t="s">
        <v>16</v>
      </c>
      <c r="I818" t="s">
        <v>1589</v>
      </c>
      <c r="J818" t="s">
        <v>17</v>
      </c>
      <c r="K818" t="s">
        <v>28</v>
      </c>
      <c r="L818" t="s">
        <v>158</v>
      </c>
      <c r="M818">
        <v>6.6079999999999997</v>
      </c>
      <c r="N818">
        <v>2</v>
      </c>
      <c r="O818">
        <v>0.2</v>
      </c>
      <c r="P818">
        <v>2.2302</v>
      </c>
      <c r="Q818" s="1">
        <v>0.33750000000000002</v>
      </c>
      <c r="R818" t="s">
        <v>4</v>
      </c>
      <c r="S818" t="s">
        <v>408</v>
      </c>
    </row>
    <row r="819" spans="1:19" x14ac:dyDescent="0.3">
      <c r="A819">
        <v>2947</v>
      </c>
      <c r="B819" t="s">
        <v>1874</v>
      </c>
      <c r="C819">
        <v>2017</v>
      </c>
      <c r="D819" t="s">
        <v>410</v>
      </c>
      <c r="E819" t="s">
        <v>35</v>
      </c>
      <c r="F819" t="s">
        <v>134</v>
      </c>
      <c r="G819" t="s">
        <v>15</v>
      </c>
      <c r="H819" t="s">
        <v>16</v>
      </c>
      <c r="I819" t="s">
        <v>1875</v>
      </c>
      <c r="J819" t="s">
        <v>10</v>
      </c>
      <c r="K819" t="s">
        <v>24</v>
      </c>
      <c r="L819" t="s">
        <v>19</v>
      </c>
      <c r="M819">
        <v>26.25</v>
      </c>
      <c r="N819">
        <v>3</v>
      </c>
      <c r="O819">
        <v>0</v>
      </c>
      <c r="P819">
        <v>11.025</v>
      </c>
      <c r="Q819" s="1">
        <v>0.42</v>
      </c>
      <c r="R819" t="s">
        <v>4</v>
      </c>
      <c r="S819" t="s">
        <v>394</v>
      </c>
    </row>
    <row r="820" spans="1:19" x14ac:dyDescent="0.3">
      <c r="A820">
        <v>2957</v>
      </c>
      <c r="B820" t="s">
        <v>1876</v>
      </c>
      <c r="C820">
        <v>2017</v>
      </c>
      <c r="D820" t="s">
        <v>396</v>
      </c>
      <c r="E820" t="s">
        <v>35</v>
      </c>
      <c r="F820" t="s">
        <v>280</v>
      </c>
      <c r="G820" t="s">
        <v>67</v>
      </c>
      <c r="H820" t="s">
        <v>48</v>
      </c>
      <c r="I820" t="s">
        <v>1877</v>
      </c>
      <c r="J820" t="s">
        <v>10</v>
      </c>
      <c r="K820" t="s">
        <v>12</v>
      </c>
      <c r="L820" t="s">
        <v>19</v>
      </c>
      <c r="M820">
        <v>191.64599999999999</v>
      </c>
      <c r="N820">
        <v>3</v>
      </c>
      <c r="O820">
        <v>0.1</v>
      </c>
      <c r="P820">
        <v>31.940999999999999</v>
      </c>
      <c r="Q820" s="1">
        <v>0.16666666666666699</v>
      </c>
      <c r="R820" t="s">
        <v>4</v>
      </c>
      <c r="S820" t="s">
        <v>394</v>
      </c>
    </row>
    <row r="821" spans="1:19" x14ac:dyDescent="0.3">
      <c r="A821">
        <v>2963</v>
      </c>
      <c r="B821" t="s">
        <v>1878</v>
      </c>
      <c r="C821">
        <v>2017</v>
      </c>
      <c r="D821" t="s">
        <v>410</v>
      </c>
      <c r="E821" t="s">
        <v>13</v>
      </c>
      <c r="F821" t="s">
        <v>215</v>
      </c>
      <c r="G821" t="s">
        <v>15</v>
      </c>
      <c r="H821" t="s">
        <v>16</v>
      </c>
      <c r="I821" t="s">
        <v>426</v>
      </c>
      <c r="J821" t="s">
        <v>10</v>
      </c>
      <c r="K821" t="s">
        <v>12</v>
      </c>
      <c r="L821" t="s">
        <v>5</v>
      </c>
      <c r="M821">
        <v>81.567999999999998</v>
      </c>
      <c r="N821">
        <v>2</v>
      </c>
      <c r="O821">
        <v>0.2</v>
      </c>
      <c r="P821">
        <v>9.1763999999999992</v>
      </c>
      <c r="Q821" s="1">
        <v>0.1125</v>
      </c>
      <c r="R821" t="s">
        <v>4</v>
      </c>
      <c r="S821" t="s">
        <v>408</v>
      </c>
    </row>
    <row r="822" spans="1:19" x14ac:dyDescent="0.3">
      <c r="A822">
        <v>2975</v>
      </c>
      <c r="B822" t="s">
        <v>1879</v>
      </c>
      <c r="C822">
        <v>2015</v>
      </c>
      <c r="D822" t="s">
        <v>417</v>
      </c>
      <c r="E822" t="s">
        <v>6</v>
      </c>
      <c r="F822" t="s">
        <v>283</v>
      </c>
      <c r="G822" t="s">
        <v>37</v>
      </c>
      <c r="H822" t="s">
        <v>38</v>
      </c>
      <c r="I822" t="s">
        <v>1163</v>
      </c>
      <c r="J822" t="s">
        <v>10</v>
      </c>
      <c r="K822" t="s">
        <v>22</v>
      </c>
      <c r="L822" t="s">
        <v>19</v>
      </c>
      <c r="M822">
        <v>244.006</v>
      </c>
      <c r="N822">
        <v>2</v>
      </c>
      <c r="O822">
        <v>0.3</v>
      </c>
      <c r="P822">
        <v>-31.372199999999999</v>
      </c>
      <c r="Q822" s="1">
        <v>-0.128571428571429</v>
      </c>
      <c r="R822" t="s">
        <v>401</v>
      </c>
      <c r="S822" t="s">
        <v>402</v>
      </c>
    </row>
    <row r="823" spans="1:19" x14ac:dyDescent="0.3">
      <c r="A823">
        <v>2980</v>
      </c>
      <c r="B823" t="s">
        <v>1880</v>
      </c>
      <c r="C823">
        <v>2015</v>
      </c>
      <c r="D823" t="s">
        <v>396</v>
      </c>
      <c r="E823" t="s">
        <v>6</v>
      </c>
      <c r="F823" t="s">
        <v>46</v>
      </c>
      <c r="G823" t="s">
        <v>47</v>
      </c>
      <c r="H823" t="s">
        <v>48</v>
      </c>
      <c r="I823" t="s">
        <v>1881</v>
      </c>
      <c r="J823" t="s">
        <v>17</v>
      </c>
      <c r="K823" t="s">
        <v>32</v>
      </c>
      <c r="L823" t="s">
        <v>19</v>
      </c>
      <c r="M823">
        <v>20.736000000000001</v>
      </c>
      <c r="N823">
        <v>4</v>
      </c>
      <c r="O823">
        <v>0.2</v>
      </c>
      <c r="P823">
        <v>7.2576000000000001</v>
      </c>
      <c r="Q823" s="1">
        <v>0.35</v>
      </c>
      <c r="R823" t="s">
        <v>4</v>
      </c>
      <c r="S823" t="s">
        <v>408</v>
      </c>
    </row>
    <row r="824" spans="1:19" x14ac:dyDescent="0.3">
      <c r="A824">
        <v>2986</v>
      </c>
      <c r="B824" t="s">
        <v>1882</v>
      </c>
      <c r="C824">
        <v>2016</v>
      </c>
      <c r="D824" t="s">
        <v>417</v>
      </c>
      <c r="E824" t="s">
        <v>35</v>
      </c>
      <c r="F824" t="s">
        <v>94</v>
      </c>
      <c r="G824" t="s">
        <v>157</v>
      </c>
      <c r="H824" t="s">
        <v>9</v>
      </c>
      <c r="I824" t="s">
        <v>1883</v>
      </c>
      <c r="J824" t="s">
        <v>10</v>
      </c>
      <c r="K824" t="s">
        <v>24</v>
      </c>
      <c r="L824" t="s">
        <v>19</v>
      </c>
      <c r="M824">
        <v>24.96</v>
      </c>
      <c r="N824">
        <v>4</v>
      </c>
      <c r="O824">
        <v>0</v>
      </c>
      <c r="P824">
        <v>6.24</v>
      </c>
      <c r="Q824" s="1">
        <v>0.25</v>
      </c>
      <c r="R824" t="s">
        <v>4</v>
      </c>
      <c r="S824" t="s">
        <v>394</v>
      </c>
    </row>
    <row r="825" spans="1:19" x14ac:dyDescent="0.3">
      <c r="A825">
        <v>2989</v>
      </c>
      <c r="B825" t="s">
        <v>1884</v>
      </c>
      <c r="C825">
        <v>2016</v>
      </c>
      <c r="D825" t="s">
        <v>529</v>
      </c>
      <c r="E825" t="s">
        <v>13</v>
      </c>
      <c r="F825" t="s">
        <v>14</v>
      </c>
      <c r="G825" t="s">
        <v>15</v>
      </c>
      <c r="H825" t="s">
        <v>16</v>
      </c>
      <c r="I825" t="s">
        <v>1885</v>
      </c>
      <c r="J825" t="s">
        <v>26</v>
      </c>
      <c r="K825" t="s">
        <v>50</v>
      </c>
      <c r="L825" t="s">
        <v>5</v>
      </c>
      <c r="M825">
        <v>12.99</v>
      </c>
      <c r="N825">
        <v>1</v>
      </c>
      <c r="O825">
        <v>0</v>
      </c>
      <c r="P825">
        <v>0.77939999999999998</v>
      </c>
      <c r="Q825" s="1">
        <v>0.06</v>
      </c>
      <c r="R825" t="s">
        <v>4</v>
      </c>
      <c r="S825" t="s">
        <v>394</v>
      </c>
    </row>
    <row r="826" spans="1:19" x14ac:dyDescent="0.3">
      <c r="A826">
        <v>2993</v>
      </c>
      <c r="B826" t="s">
        <v>1886</v>
      </c>
      <c r="C826">
        <v>2016</v>
      </c>
      <c r="D826" t="s">
        <v>399</v>
      </c>
      <c r="E826" t="s">
        <v>13</v>
      </c>
      <c r="F826" t="s">
        <v>66</v>
      </c>
      <c r="G826" t="s">
        <v>67</v>
      </c>
      <c r="H826" t="s">
        <v>48</v>
      </c>
      <c r="I826" t="s">
        <v>901</v>
      </c>
      <c r="J826" t="s">
        <v>17</v>
      </c>
      <c r="K826" t="s">
        <v>29</v>
      </c>
      <c r="L826" t="s">
        <v>19</v>
      </c>
      <c r="M826">
        <v>61.44</v>
      </c>
      <c r="N826">
        <v>3</v>
      </c>
      <c r="O826">
        <v>0</v>
      </c>
      <c r="P826">
        <v>16.588799999999999</v>
      </c>
      <c r="Q826" s="1">
        <v>0.27</v>
      </c>
      <c r="R826" t="s">
        <v>4</v>
      </c>
      <c r="S826" t="s">
        <v>394</v>
      </c>
    </row>
    <row r="827" spans="1:19" x14ac:dyDescent="0.3">
      <c r="A827">
        <v>2994</v>
      </c>
      <c r="B827" t="s">
        <v>1887</v>
      </c>
      <c r="C827">
        <v>2017</v>
      </c>
      <c r="D827" t="s">
        <v>447</v>
      </c>
      <c r="E827" t="s">
        <v>6</v>
      </c>
      <c r="F827" t="s">
        <v>130</v>
      </c>
      <c r="G827" t="s">
        <v>61</v>
      </c>
      <c r="H827" t="s">
        <v>38</v>
      </c>
      <c r="I827" t="s">
        <v>1565</v>
      </c>
      <c r="J827" t="s">
        <v>17</v>
      </c>
      <c r="K827" t="s">
        <v>28</v>
      </c>
      <c r="L827" t="s">
        <v>19</v>
      </c>
      <c r="M827">
        <v>895.92</v>
      </c>
      <c r="N827">
        <v>4</v>
      </c>
      <c r="O827">
        <v>0</v>
      </c>
      <c r="P827">
        <v>421.08240000000001</v>
      </c>
      <c r="Q827" s="1">
        <v>0.47</v>
      </c>
      <c r="R827" t="s">
        <v>4</v>
      </c>
      <c r="S827" t="s">
        <v>394</v>
      </c>
    </row>
    <row r="828" spans="1:19" x14ac:dyDescent="0.3">
      <c r="A828">
        <v>3006</v>
      </c>
      <c r="B828" t="s">
        <v>1888</v>
      </c>
      <c r="C828">
        <v>2014</v>
      </c>
      <c r="D828" t="s">
        <v>417</v>
      </c>
      <c r="E828" t="s">
        <v>35</v>
      </c>
      <c r="F828" t="s">
        <v>342</v>
      </c>
      <c r="G828" t="s">
        <v>40</v>
      </c>
      <c r="H828" t="s">
        <v>38</v>
      </c>
      <c r="I828" t="s">
        <v>1889</v>
      </c>
      <c r="J828" t="s">
        <v>17</v>
      </c>
      <c r="K828" t="s">
        <v>28</v>
      </c>
      <c r="L828" t="s">
        <v>19</v>
      </c>
      <c r="M828">
        <v>91.68</v>
      </c>
      <c r="N828">
        <v>3</v>
      </c>
      <c r="O828">
        <v>0</v>
      </c>
      <c r="P828">
        <v>45.84</v>
      </c>
      <c r="Q828" s="1">
        <v>0.5</v>
      </c>
      <c r="R828" t="s">
        <v>4</v>
      </c>
      <c r="S828" t="s">
        <v>394</v>
      </c>
    </row>
    <row r="829" spans="1:19" x14ac:dyDescent="0.3">
      <c r="A829">
        <v>3011</v>
      </c>
      <c r="B829" t="s">
        <v>1890</v>
      </c>
      <c r="C829">
        <v>2017</v>
      </c>
      <c r="D829" t="s">
        <v>406</v>
      </c>
      <c r="E829" t="s">
        <v>35</v>
      </c>
      <c r="F829" t="s">
        <v>173</v>
      </c>
      <c r="G829" t="s">
        <v>89</v>
      </c>
      <c r="H829" t="s">
        <v>16</v>
      </c>
      <c r="I829" t="s">
        <v>747</v>
      </c>
      <c r="J829" t="s">
        <v>17</v>
      </c>
      <c r="K829" t="s">
        <v>28</v>
      </c>
      <c r="L829" t="s">
        <v>19</v>
      </c>
      <c r="M829">
        <v>12.03</v>
      </c>
      <c r="N829">
        <v>5</v>
      </c>
      <c r="O829">
        <v>0.7</v>
      </c>
      <c r="P829">
        <v>-9.2230000000000008</v>
      </c>
      <c r="Q829" s="1">
        <v>-0.76666666666666705</v>
      </c>
      <c r="R829" t="s">
        <v>401</v>
      </c>
      <c r="S829" t="s">
        <v>402</v>
      </c>
    </row>
    <row r="830" spans="1:19" x14ac:dyDescent="0.3">
      <c r="A830">
        <v>3017</v>
      </c>
      <c r="B830" t="s">
        <v>1891</v>
      </c>
      <c r="C830">
        <v>2016</v>
      </c>
      <c r="D830" t="s">
        <v>420</v>
      </c>
      <c r="E830" t="s">
        <v>35</v>
      </c>
      <c r="F830" t="s">
        <v>343</v>
      </c>
      <c r="G830" t="s">
        <v>37</v>
      </c>
      <c r="H830" t="s">
        <v>38</v>
      </c>
      <c r="I830" t="s">
        <v>773</v>
      </c>
      <c r="J830" t="s">
        <v>17</v>
      </c>
      <c r="K830" t="s">
        <v>23</v>
      </c>
      <c r="L830" t="s">
        <v>19</v>
      </c>
      <c r="M830">
        <v>727.29600000000005</v>
      </c>
      <c r="N830">
        <v>8</v>
      </c>
      <c r="O830">
        <v>0.2</v>
      </c>
      <c r="P830">
        <v>-172.7328</v>
      </c>
      <c r="Q830" s="1">
        <v>-0.23749999999999999</v>
      </c>
      <c r="R830" t="s">
        <v>401</v>
      </c>
      <c r="S830" t="s">
        <v>408</v>
      </c>
    </row>
    <row r="831" spans="1:19" x14ac:dyDescent="0.3">
      <c r="A831">
        <v>3028</v>
      </c>
      <c r="B831" t="s">
        <v>1892</v>
      </c>
      <c r="C831">
        <v>2014</v>
      </c>
      <c r="D831" t="s">
        <v>420</v>
      </c>
      <c r="E831" t="s">
        <v>13</v>
      </c>
      <c r="F831" t="s">
        <v>344</v>
      </c>
      <c r="G831" t="s">
        <v>192</v>
      </c>
      <c r="H831" t="s">
        <v>16</v>
      </c>
      <c r="I831" t="s">
        <v>1893</v>
      </c>
      <c r="J831" t="s">
        <v>17</v>
      </c>
      <c r="K831" t="s">
        <v>28</v>
      </c>
      <c r="L831" t="s">
        <v>158</v>
      </c>
      <c r="M831">
        <v>8.2880000000000003</v>
      </c>
      <c r="N831">
        <v>2</v>
      </c>
      <c r="O831">
        <v>0.2</v>
      </c>
      <c r="P831">
        <v>2.6936</v>
      </c>
      <c r="Q831" s="1">
        <v>0.32500000000000001</v>
      </c>
      <c r="R831" t="s">
        <v>4</v>
      </c>
      <c r="S831" t="s">
        <v>408</v>
      </c>
    </row>
    <row r="832" spans="1:19" x14ac:dyDescent="0.3">
      <c r="A832">
        <v>3030</v>
      </c>
      <c r="B832" t="s">
        <v>1894</v>
      </c>
      <c r="C832">
        <v>2016</v>
      </c>
      <c r="D832" t="s">
        <v>447</v>
      </c>
      <c r="E832" t="s">
        <v>13</v>
      </c>
      <c r="F832" t="s">
        <v>345</v>
      </c>
      <c r="G832" t="s">
        <v>86</v>
      </c>
      <c r="H832" t="s">
        <v>16</v>
      </c>
      <c r="I832" t="s">
        <v>1895</v>
      </c>
      <c r="J832" t="s">
        <v>26</v>
      </c>
      <c r="K832" t="s">
        <v>27</v>
      </c>
      <c r="L832" t="s">
        <v>19</v>
      </c>
      <c r="M832">
        <v>403.16800000000001</v>
      </c>
      <c r="N832">
        <v>4</v>
      </c>
      <c r="O832">
        <v>0.2</v>
      </c>
      <c r="P832">
        <v>25.198</v>
      </c>
      <c r="Q832" s="1">
        <v>6.25E-2</v>
      </c>
      <c r="R832" t="s">
        <v>4</v>
      </c>
      <c r="S832" t="s">
        <v>408</v>
      </c>
    </row>
    <row r="833" spans="1:19" x14ac:dyDescent="0.3">
      <c r="A833">
        <v>3033</v>
      </c>
      <c r="B833" t="s">
        <v>1896</v>
      </c>
      <c r="C833">
        <v>2016</v>
      </c>
      <c r="D833" t="s">
        <v>392</v>
      </c>
      <c r="E833" t="s">
        <v>6</v>
      </c>
      <c r="F833" t="s">
        <v>345</v>
      </c>
      <c r="G833" t="s">
        <v>86</v>
      </c>
      <c r="H833" t="s">
        <v>16</v>
      </c>
      <c r="I833" t="s">
        <v>1897</v>
      </c>
      <c r="J833" t="s">
        <v>10</v>
      </c>
      <c r="K833" t="s">
        <v>12</v>
      </c>
      <c r="L833" t="s">
        <v>19</v>
      </c>
      <c r="M833">
        <v>195.136</v>
      </c>
      <c r="N833">
        <v>4</v>
      </c>
      <c r="O833">
        <v>0.2</v>
      </c>
      <c r="P833">
        <v>-12.196</v>
      </c>
      <c r="Q833" s="1">
        <v>-6.25E-2</v>
      </c>
      <c r="R833" t="s">
        <v>401</v>
      </c>
      <c r="S833" t="s">
        <v>408</v>
      </c>
    </row>
    <row r="834" spans="1:19" x14ac:dyDescent="0.3">
      <c r="A834">
        <v>3035</v>
      </c>
      <c r="B834" t="s">
        <v>1898</v>
      </c>
      <c r="C834">
        <v>2015</v>
      </c>
      <c r="D834" t="s">
        <v>396</v>
      </c>
      <c r="E834" t="s">
        <v>6</v>
      </c>
      <c r="F834" t="s">
        <v>115</v>
      </c>
      <c r="G834" t="s">
        <v>116</v>
      </c>
      <c r="H834" t="s">
        <v>9</v>
      </c>
      <c r="I834" t="s">
        <v>1899</v>
      </c>
      <c r="J834" t="s">
        <v>26</v>
      </c>
      <c r="K834" t="s">
        <v>50</v>
      </c>
      <c r="L834" t="s">
        <v>19</v>
      </c>
      <c r="M834">
        <v>53.7</v>
      </c>
      <c r="N834">
        <v>6</v>
      </c>
      <c r="O834">
        <v>0</v>
      </c>
      <c r="P834">
        <v>10.202999999999999</v>
      </c>
      <c r="Q834" s="1">
        <v>0.19</v>
      </c>
      <c r="R834" t="s">
        <v>4</v>
      </c>
      <c r="S834" t="s">
        <v>394</v>
      </c>
    </row>
    <row r="835" spans="1:19" x14ac:dyDescent="0.3">
      <c r="A835">
        <v>3051</v>
      </c>
      <c r="B835" t="s">
        <v>1900</v>
      </c>
      <c r="C835">
        <v>2017</v>
      </c>
      <c r="D835" t="s">
        <v>399</v>
      </c>
      <c r="E835" t="s">
        <v>35</v>
      </c>
      <c r="F835" t="s">
        <v>347</v>
      </c>
      <c r="G835" t="s">
        <v>348</v>
      </c>
      <c r="H835" t="s">
        <v>16</v>
      </c>
      <c r="I835" t="s">
        <v>1901</v>
      </c>
      <c r="J835" t="s">
        <v>10</v>
      </c>
      <c r="K835" t="s">
        <v>24</v>
      </c>
      <c r="L835" t="s">
        <v>19</v>
      </c>
      <c r="M835">
        <v>41.96</v>
      </c>
      <c r="N835">
        <v>2</v>
      </c>
      <c r="O835">
        <v>0</v>
      </c>
      <c r="P835">
        <v>2.9371999999999998</v>
      </c>
      <c r="Q835" s="1">
        <v>7.0000000000000007E-2</v>
      </c>
      <c r="R835" t="s">
        <v>4</v>
      </c>
      <c r="S835" t="s">
        <v>394</v>
      </c>
    </row>
    <row r="836" spans="1:19" x14ac:dyDescent="0.3">
      <c r="A836">
        <v>3056</v>
      </c>
      <c r="B836" t="s">
        <v>1902</v>
      </c>
      <c r="C836">
        <v>2015</v>
      </c>
      <c r="D836" t="s">
        <v>420</v>
      </c>
      <c r="E836" t="s">
        <v>13</v>
      </c>
      <c r="F836" t="s">
        <v>70</v>
      </c>
      <c r="G836" t="s">
        <v>56</v>
      </c>
      <c r="H836" t="s">
        <v>38</v>
      </c>
      <c r="I836" t="s">
        <v>1386</v>
      </c>
      <c r="J836" t="s">
        <v>26</v>
      </c>
      <c r="K836" t="s">
        <v>152</v>
      </c>
      <c r="L836" t="s">
        <v>19</v>
      </c>
      <c r="M836">
        <v>2799.96</v>
      </c>
      <c r="N836">
        <v>5</v>
      </c>
      <c r="O836">
        <v>0.2</v>
      </c>
      <c r="P836">
        <v>874.98749999999995</v>
      </c>
      <c r="Q836" s="1">
        <v>0.3125</v>
      </c>
      <c r="R836" t="s">
        <v>4</v>
      </c>
      <c r="S836" t="s">
        <v>408</v>
      </c>
    </row>
    <row r="837" spans="1:19" x14ac:dyDescent="0.3">
      <c r="A837">
        <v>3074</v>
      </c>
      <c r="B837" t="s">
        <v>1903</v>
      </c>
      <c r="C837">
        <v>2016</v>
      </c>
      <c r="D837" t="s">
        <v>430</v>
      </c>
      <c r="E837" t="s">
        <v>6</v>
      </c>
      <c r="F837" t="s">
        <v>14</v>
      </c>
      <c r="G837" t="s">
        <v>15</v>
      </c>
      <c r="H837" t="s">
        <v>16</v>
      </c>
      <c r="I837" t="s">
        <v>1904</v>
      </c>
      <c r="J837" t="s">
        <v>17</v>
      </c>
      <c r="K837" t="s">
        <v>23</v>
      </c>
      <c r="L837" t="s">
        <v>53</v>
      </c>
      <c r="M837">
        <v>114.46</v>
      </c>
      <c r="N837">
        <v>2</v>
      </c>
      <c r="O837">
        <v>0</v>
      </c>
      <c r="P837">
        <v>28.614999999999998</v>
      </c>
      <c r="Q837" s="1">
        <v>0.25</v>
      </c>
      <c r="R837" t="s">
        <v>4</v>
      </c>
      <c r="S837" t="s">
        <v>394</v>
      </c>
    </row>
    <row r="838" spans="1:19" x14ac:dyDescent="0.3">
      <c r="A838">
        <v>3076</v>
      </c>
      <c r="B838" t="s">
        <v>1905</v>
      </c>
      <c r="C838">
        <v>2014</v>
      </c>
      <c r="D838" t="s">
        <v>425</v>
      </c>
      <c r="E838" t="s">
        <v>35</v>
      </c>
      <c r="F838" t="s">
        <v>126</v>
      </c>
      <c r="G838" t="s">
        <v>37</v>
      </c>
      <c r="H838" t="s">
        <v>38</v>
      </c>
      <c r="I838" t="s">
        <v>1906</v>
      </c>
      <c r="J838" t="s">
        <v>17</v>
      </c>
      <c r="K838" t="s">
        <v>23</v>
      </c>
      <c r="L838" t="s">
        <v>19</v>
      </c>
      <c r="M838">
        <v>342.86399999999998</v>
      </c>
      <c r="N838">
        <v>3</v>
      </c>
      <c r="O838">
        <v>0.2</v>
      </c>
      <c r="P838">
        <v>38.572200000000002</v>
      </c>
      <c r="Q838" s="1">
        <v>0.1125</v>
      </c>
      <c r="R838" t="s">
        <v>4</v>
      </c>
      <c r="S838" t="s">
        <v>408</v>
      </c>
    </row>
    <row r="839" spans="1:19" x14ac:dyDescent="0.3">
      <c r="A839">
        <v>3082</v>
      </c>
      <c r="B839" t="s">
        <v>1907</v>
      </c>
      <c r="C839">
        <v>2017</v>
      </c>
      <c r="D839" t="s">
        <v>417</v>
      </c>
      <c r="E839" t="s">
        <v>35</v>
      </c>
      <c r="F839" t="s">
        <v>173</v>
      </c>
      <c r="G839" t="s">
        <v>8</v>
      </c>
      <c r="H839" t="s">
        <v>9</v>
      </c>
      <c r="I839" t="s">
        <v>1174</v>
      </c>
      <c r="J839" t="s">
        <v>17</v>
      </c>
      <c r="K839" t="s">
        <v>28</v>
      </c>
      <c r="L839" t="s">
        <v>19</v>
      </c>
      <c r="M839">
        <v>58.34</v>
      </c>
      <c r="N839">
        <v>2</v>
      </c>
      <c r="O839">
        <v>0</v>
      </c>
      <c r="P839">
        <v>28.0032</v>
      </c>
      <c r="Q839" s="1">
        <v>0.48</v>
      </c>
      <c r="R839" t="s">
        <v>4</v>
      </c>
      <c r="S839" t="s">
        <v>394</v>
      </c>
    </row>
    <row r="840" spans="1:19" x14ac:dyDescent="0.3">
      <c r="A840">
        <v>3084</v>
      </c>
      <c r="B840" t="s">
        <v>1908</v>
      </c>
      <c r="C840">
        <v>2014</v>
      </c>
      <c r="D840" t="s">
        <v>430</v>
      </c>
      <c r="E840" t="s">
        <v>6</v>
      </c>
      <c r="F840" t="s">
        <v>66</v>
      </c>
      <c r="G840" t="s">
        <v>67</v>
      </c>
      <c r="H840" t="s">
        <v>48</v>
      </c>
      <c r="I840" t="s">
        <v>586</v>
      </c>
      <c r="J840" t="s">
        <v>17</v>
      </c>
      <c r="K840" t="s">
        <v>28</v>
      </c>
      <c r="L840" t="s">
        <v>19</v>
      </c>
      <c r="M840">
        <v>3.9279999999999999</v>
      </c>
      <c r="N840">
        <v>1</v>
      </c>
      <c r="O840">
        <v>0.2</v>
      </c>
      <c r="P840">
        <v>1.3257000000000001</v>
      </c>
      <c r="Q840" s="1">
        <v>0.33750000000000002</v>
      </c>
      <c r="R840" t="s">
        <v>4</v>
      </c>
      <c r="S840" t="s">
        <v>408</v>
      </c>
    </row>
    <row r="841" spans="1:19" x14ac:dyDescent="0.3">
      <c r="A841">
        <v>3085</v>
      </c>
      <c r="B841" t="s">
        <v>1909</v>
      </c>
      <c r="C841">
        <v>2017</v>
      </c>
      <c r="D841" t="s">
        <v>529</v>
      </c>
      <c r="E841" t="s">
        <v>6</v>
      </c>
      <c r="F841" t="s">
        <v>52</v>
      </c>
      <c r="G841" t="s">
        <v>37</v>
      </c>
      <c r="H841" t="s">
        <v>38</v>
      </c>
      <c r="I841" t="s">
        <v>745</v>
      </c>
      <c r="J841" t="s">
        <v>17</v>
      </c>
      <c r="K841" t="s">
        <v>28</v>
      </c>
      <c r="L841" t="s">
        <v>19</v>
      </c>
      <c r="M841">
        <v>252.78399999999999</v>
      </c>
      <c r="N841">
        <v>4</v>
      </c>
      <c r="O841">
        <v>0.8</v>
      </c>
      <c r="P841">
        <v>-417.09359999999998</v>
      </c>
      <c r="Q841" s="1">
        <v>-1.65</v>
      </c>
      <c r="R841" t="s">
        <v>401</v>
      </c>
      <c r="S841" t="s">
        <v>402</v>
      </c>
    </row>
    <row r="842" spans="1:19" x14ac:dyDescent="0.3">
      <c r="A842">
        <v>3091</v>
      </c>
      <c r="B842" t="s">
        <v>1910</v>
      </c>
      <c r="C842">
        <v>2016</v>
      </c>
      <c r="D842" t="s">
        <v>447</v>
      </c>
      <c r="E842" t="s">
        <v>6</v>
      </c>
      <c r="F842" t="s">
        <v>105</v>
      </c>
      <c r="G842" t="s">
        <v>63</v>
      </c>
      <c r="H842" t="s">
        <v>48</v>
      </c>
      <c r="I842" t="s">
        <v>1911</v>
      </c>
      <c r="J842" t="s">
        <v>17</v>
      </c>
      <c r="K842" t="s">
        <v>28</v>
      </c>
      <c r="L842" t="s">
        <v>19</v>
      </c>
      <c r="M842">
        <v>447.86</v>
      </c>
      <c r="N842">
        <v>7</v>
      </c>
      <c r="O842">
        <v>0</v>
      </c>
      <c r="P842">
        <v>219.45140000000001</v>
      </c>
      <c r="Q842" s="1">
        <v>0.49</v>
      </c>
      <c r="R842" t="s">
        <v>4</v>
      </c>
      <c r="S842" t="s">
        <v>394</v>
      </c>
    </row>
    <row r="843" spans="1:19" x14ac:dyDescent="0.3">
      <c r="A843">
        <v>3094</v>
      </c>
      <c r="B843" t="s">
        <v>1912</v>
      </c>
      <c r="C843">
        <v>2015</v>
      </c>
      <c r="D843" t="s">
        <v>420</v>
      </c>
      <c r="E843" t="s">
        <v>6</v>
      </c>
      <c r="F843" t="s">
        <v>349</v>
      </c>
      <c r="G843" t="s">
        <v>56</v>
      </c>
      <c r="H843" t="s">
        <v>38</v>
      </c>
      <c r="I843" t="s">
        <v>1913</v>
      </c>
      <c r="J843" t="s">
        <v>17</v>
      </c>
      <c r="K843" t="s">
        <v>101</v>
      </c>
      <c r="L843" t="s">
        <v>158</v>
      </c>
      <c r="M843">
        <v>31.68</v>
      </c>
      <c r="N843">
        <v>4</v>
      </c>
      <c r="O843">
        <v>0.2</v>
      </c>
      <c r="P843">
        <v>2.7719999999999998</v>
      </c>
      <c r="Q843" s="1">
        <v>8.7499999999999994E-2</v>
      </c>
      <c r="R843" t="s">
        <v>4</v>
      </c>
      <c r="S843" t="s">
        <v>408</v>
      </c>
    </row>
    <row r="844" spans="1:19" x14ac:dyDescent="0.3">
      <c r="A844">
        <v>3098</v>
      </c>
      <c r="B844" t="s">
        <v>1914</v>
      </c>
      <c r="C844">
        <v>2017</v>
      </c>
      <c r="D844" t="s">
        <v>406</v>
      </c>
      <c r="E844" t="s">
        <v>13</v>
      </c>
      <c r="F844" t="s">
        <v>36</v>
      </c>
      <c r="G844" t="s">
        <v>37</v>
      </c>
      <c r="H844" t="s">
        <v>38</v>
      </c>
      <c r="I844" t="s">
        <v>690</v>
      </c>
      <c r="J844" t="s">
        <v>17</v>
      </c>
      <c r="K844" t="s">
        <v>18</v>
      </c>
      <c r="L844" t="s">
        <v>19</v>
      </c>
      <c r="M844">
        <v>33.119999999999997</v>
      </c>
      <c r="N844">
        <v>4</v>
      </c>
      <c r="O844">
        <v>0.2</v>
      </c>
      <c r="P844">
        <v>11.592000000000001</v>
      </c>
      <c r="Q844" s="1">
        <v>0.35</v>
      </c>
      <c r="R844" t="s">
        <v>4</v>
      </c>
      <c r="S844" t="s">
        <v>408</v>
      </c>
    </row>
    <row r="845" spans="1:19" x14ac:dyDescent="0.3">
      <c r="A845">
        <v>3149</v>
      </c>
      <c r="B845" t="s">
        <v>1915</v>
      </c>
      <c r="C845">
        <v>2016</v>
      </c>
      <c r="D845" t="s">
        <v>396</v>
      </c>
      <c r="E845" t="s">
        <v>35</v>
      </c>
      <c r="F845" t="s">
        <v>66</v>
      </c>
      <c r="G845" t="s">
        <v>67</v>
      </c>
      <c r="H845" t="s">
        <v>48</v>
      </c>
      <c r="I845" t="s">
        <v>952</v>
      </c>
      <c r="J845" t="s">
        <v>17</v>
      </c>
      <c r="K845" t="s">
        <v>32</v>
      </c>
      <c r="L845" t="s">
        <v>53</v>
      </c>
      <c r="M845">
        <v>32.4</v>
      </c>
      <c r="N845">
        <v>5</v>
      </c>
      <c r="O845">
        <v>0</v>
      </c>
      <c r="P845">
        <v>15.552</v>
      </c>
      <c r="Q845" s="1">
        <v>0.48</v>
      </c>
      <c r="R845" t="s">
        <v>4</v>
      </c>
      <c r="S845" t="s">
        <v>394</v>
      </c>
    </row>
    <row r="846" spans="1:19" x14ac:dyDescent="0.3">
      <c r="A846">
        <v>3172</v>
      </c>
      <c r="B846" t="s">
        <v>1916</v>
      </c>
      <c r="C846">
        <v>2016</v>
      </c>
      <c r="D846" t="s">
        <v>447</v>
      </c>
      <c r="E846" t="s">
        <v>6</v>
      </c>
      <c r="F846" t="s">
        <v>70</v>
      </c>
      <c r="G846" t="s">
        <v>56</v>
      </c>
      <c r="H846" t="s">
        <v>38</v>
      </c>
      <c r="I846" t="s">
        <v>1917</v>
      </c>
      <c r="J846" t="s">
        <v>17</v>
      </c>
      <c r="K846" t="s">
        <v>28</v>
      </c>
      <c r="L846" t="s">
        <v>19</v>
      </c>
      <c r="M846">
        <v>3.1680000000000001</v>
      </c>
      <c r="N846">
        <v>2</v>
      </c>
      <c r="O846">
        <v>0.8</v>
      </c>
      <c r="P846">
        <v>-4.7519999999999998</v>
      </c>
      <c r="Q846" s="1">
        <v>-1.5</v>
      </c>
      <c r="R846" t="s">
        <v>401</v>
      </c>
      <c r="S846" t="s">
        <v>402</v>
      </c>
    </row>
    <row r="847" spans="1:19" x14ac:dyDescent="0.3">
      <c r="A847">
        <v>3186</v>
      </c>
      <c r="B847" t="s">
        <v>1918</v>
      </c>
      <c r="C847">
        <v>2014</v>
      </c>
      <c r="D847" t="s">
        <v>392</v>
      </c>
      <c r="E847" t="s">
        <v>13</v>
      </c>
      <c r="F847" t="s">
        <v>52</v>
      </c>
      <c r="G847" t="s">
        <v>37</v>
      </c>
      <c r="H847" t="s">
        <v>38</v>
      </c>
      <c r="I847" t="s">
        <v>1919</v>
      </c>
      <c r="J847" t="s">
        <v>17</v>
      </c>
      <c r="K847" t="s">
        <v>28</v>
      </c>
      <c r="L847" t="s">
        <v>53</v>
      </c>
      <c r="M847">
        <v>26.045999999999999</v>
      </c>
      <c r="N847">
        <v>3</v>
      </c>
      <c r="O847">
        <v>0.8</v>
      </c>
      <c r="P847">
        <v>-44.278199999999998</v>
      </c>
      <c r="Q847" s="1">
        <v>-1.7</v>
      </c>
      <c r="R847" t="s">
        <v>401</v>
      </c>
      <c r="S847" t="s">
        <v>402</v>
      </c>
    </row>
    <row r="848" spans="1:19" x14ac:dyDescent="0.3">
      <c r="A848">
        <v>3188</v>
      </c>
      <c r="B848" t="s">
        <v>1920</v>
      </c>
      <c r="C848">
        <v>2017</v>
      </c>
      <c r="D848" t="s">
        <v>447</v>
      </c>
      <c r="E848" t="s">
        <v>13</v>
      </c>
      <c r="F848" t="s">
        <v>155</v>
      </c>
      <c r="G848" t="s">
        <v>156</v>
      </c>
      <c r="H848" t="s">
        <v>48</v>
      </c>
      <c r="I848" t="s">
        <v>1921</v>
      </c>
      <c r="J848" t="s">
        <v>26</v>
      </c>
      <c r="K848" t="s">
        <v>27</v>
      </c>
      <c r="L848" t="s">
        <v>19</v>
      </c>
      <c r="M848">
        <v>69.930000000000007</v>
      </c>
      <c r="N848">
        <v>7</v>
      </c>
      <c r="O848">
        <v>0</v>
      </c>
      <c r="P848">
        <v>32.1678</v>
      </c>
      <c r="Q848" s="1">
        <v>0.46</v>
      </c>
      <c r="R848" t="s">
        <v>4</v>
      </c>
      <c r="S848" t="s">
        <v>394</v>
      </c>
    </row>
    <row r="849" spans="1:19" x14ac:dyDescent="0.3">
      <c r="A849">
        <v>3197</v>
      </c>
      <c r="B849" t="s">
        <v>1922</v>
      </c>
      <c r="C849">
        <v>2017</v>
      </c>
      <c r="D849" t="s">
        <v>425</v>
      </c>
      <c r="E849" t="s">
        <v>13</v>
      </c>
      <c r="F849" t="s">
        <v>66</v>
      </c>
      <c r="G849" t="s">
        <v>67</v>
      </c>
      <c r="H849" t="s">
        <v>48</v>
      </c>
      <c r="I849" t="s">
        <v>1923</v>
      </c>
      <c r="J849" t="s">
        <v>26</v>
      </c>
      <c r="K849" t="s">
        <v>27</v>
      </c>
      <c r="L849" t="s">
        <v>19</v>
      </c>
      <c r="M849">
        <v>29.97</v>
      </c>
      <c r="N849">
        <v>3</v>
      </c>
      <c r="O849">
        <v>0</v>
      </c>
      <c r="P849">
        <v>14.085900000000001</v>
      </c>
      <c r="Q849" s="1">
        <v>0.47</v>
      </c>
      <c r="R849" t="s">
        <v>4</v>
      </c>
      <c r="S849" t="s">
        <v>394</v>
      </c>
    </row>
    <row r="850" spans="1:19" x14ac:dyDescent="0.3">
      <c r="A850">
        <v>3198</v>
      </c>
      <c r="B850" t="s">
        <v>1924</v>
      </c>
      <c r="C850">
        <v>2015</v>
      </c>
      <c r="D850" t="s">
        <v>425</v>
      </c>
      <c r="E850" t="s">
        <v>6</v>
      </c>
      <c r="F850" t="s">
        <v>277</v>
      </c>
      <c r="G850" t="s">
        <v>72</v>
      </c>
      <c r="H850" t="s">
        <v>16</v>
      </c>
      <c r="I850" t="s">
        <v>1925</v>
      </c>
      <c r="J850" t="s">
        <v>17</v>
      </c>
      <c r="K850" t="s">
        <v>28</v>
      </c>
      <c r="L850" t="s">
        <v>158</v>
      </c>
      <c r="M850">
        <v>3.3660000000000001</v>
      </c>
      <c r="N850">
        <v>3</v>
      </c>
      <c r="O850">
        <v>0.7</v>
      </c>
      <c r="P850">
        <v>-2.2440000000000002</v>
      </c>
      <c r="Q850" s="1">
        <v>-0.66666666666666696</v>
      </c>
      <c r="R850" t="s">
        <v>401</v>
      </c>
      <c r="S850" t="s">
        <v>402</v>
      </c>
    </row>
    <row r="851" spans="1:19" x14ac:dyDescent="0.3">
      <c r="A851">
        <v>3203</v>
      </c>
      <c r="B851" t="s">
        <v>1926</v>
      </c>
      <c r="C851">
        <v>2014</v>
      </c>
      <c r="D851" t="s">
        <v>392</v>
      </c>
      <c r="E851" t="s">
        <v>6</v>
      </c>
      <c r="F851" t="s">
        <v>134</v>
      </c>
      <c r="G851" t="s">
        <v>15</v>
      </c>
      <c r="H851" t="s">
        <v>16</v>
      </c>
      <c r="I851" t="s">
        <v>1927</v>
      </c>
      <c r="J851" t="s">
        <v>26</v>
      </c>
      <c r="K851" t="s">
        <v>27</v>
      </c>
      <c r="L851" t="s">
        <v>19</v>
      </c>
      <c r="M851">
        <v>601.53599999999994</v>
      </c>
      <c r="N851">
        <v>8</v>
      </c>
      <c r="O851">
        <v>0.2</v>
      </c>
      <c r="P851">
        <v>60.153599999999997</v>
      </c>
      <c r="Q851" s="1">
        <v>0.1</v>
      </c>
      <c r="R851" t="s">
        <v>4</v>
      </c>
      <c r="S851" t="s">
        <v>408</v>
      </c>
    </row>
    <row r="852" spans="1:19" x14ac:dyDescent="0.3">
      <c r="A852">
        <v>3209</v>
      </c>
      <c r="B852" t="s">
        <v>1928</v>
      </c>
      <c r="C852">
        <v>2016</v>
      </c>
      <c r="D852" t="s">
        <v>430</v>
      </c>
      <c r="E852" t="s">
        <v>13</v>
      </c>
      <c r="F852" t="s">
        <v>259</v>
      </c>
      <c r="G852" t="s">
        <v>15</v>
      </c>
      <c r="H852" t="s">
        <v>16</v>
      </c>
      <c r="I852" t="s">
        <v>1929</v>
      </c>
      <c r="J852" t="s">
        <v>26</v>
      </c>
      <c r="K852" t="s">
        <v>50</v>
      </c>
      <c r="L852" t="s">
        <v>19</v>
      </c>
      <c r="M852">
        <v>349.95</v>
      </c>
      <c r="N852">
        <v>5</v>
      </c>
      <c r="O852">
        <v>0</v>
      </c>
      <c r="P852">
        <v>118.983</v>
      </c>
      <c r="Q852" s="1">
        <v>0.34</v>
      </c>
      <c r="R852" t="s">
        <v>4</v>
      </c>
      <c r="S852" t="s">
        <v>394</v>
      </c>
    </row>
    <row r="853" spans="1:19" x14ac:dyDescent="0.3">
      <c r="A853">
        <v>3213</v>
      </c>
      <c r="B853" t="s">
        <v>1930</v>
      </c>
      <c r="C853">
        <v>2014</v>
      </c>
      <c r="D853" t="s">
        <v>410</v>
      </c>
      <c r="E853" t="s">
        <v>6</v>
      </c>
      <c r="F853" t="s">
        <v>172</v>
      </c>
      <c r="G853" t="s">
        <v>65</v>
      </c>
      <c r="H853" t="s">
        <v>38</v>
      </c>
      <c r="I853" t="s">
        <v>1152</v>
      </c>
      <c r="J853" t="s">
        <v>17</v>
      </c>
      <c r="K853" t="s">
        <v>29</v>
      </c>
      <c r="L853" t="s">
        <v>19</v>
      </c>
      <c r="M853">
        <v>207.24</v>
      </c>
      <c r="N853">
        <v>11</v>
      </c>
      <c r="O853">
        <v>0</v>
      </c>
      <c r="P853">
        <v>58.027200000000001</v>
      </c>
      <c r="Q853" s="1">
        <v>0.28000000000000003</v>
      </c>
      <c r="R853" t="s">
        <v>4</v>
      </c>
      <c r="S853" t="s">
        <v>394</v>
      </c>
    </row>
    <row r="854" spans="1:19" x14ac:dyDescent="0.3">
      <c r="A854">
        <v>3223</v>
      </c>
      <c r="B854" t="s">
        <v>1931</v>
      </c>
      <c r="C854">
        <v>2014</v>
      </c>
      <c r="D854" t="s">
        <v>399</v>
      </c>
      <c r="E854" t="s">
        <v>13</v>
      </c>
      <c r="F854" t="s">
        <v>277</v>
      </c>
      <c r="G854" t="s">
        <v>72</v>
      </c>
      <c r="H854" t="s">
        <v>16</v>
      </c>
      <c r="I854" t="s">
        <v>1932</v>
      </c>
      <c r="J854" t="s">
        <v>17</v>
      </c>
      <c r="K854" t="s">
        <v>32</v>
      </c>
      <c r="L854" t="s">
        <v>53</v>
      </c>
      <c r="M854">
        <v>9.4079999999999995</v>
      </c>
      <c r="N854">
        <v>2</v>
      </c>
      <c r="O854">
        <v>0.2</v>
      </c>
      <c r="P854">
        <v>3.4104000000000001</v>
      </c>
      <c r="Q854" s="1">
        <v>0.36249999999999999</v>
      </c>
      <c r="R854" t="s">
        <v>4</v>
      </c>
      <c r="S854" t="s">
        <v>408</v>
      </c>
    </row>
    <row r="855" spans="1:19" x14ac:dyDescent="0.3">
      <c r="A855">
        <v>3231</v>
      </c>
      <c r="B855" t="s">
        <v>1933</v>
      </c>
      <c r="C855">
        <v>2017</v>
      </c>
      <c r="D855" t="s">
        <v>428</v>
      </c>
      <c r="E855" t="s">
        <v>6</v>
      </c>
      <c r="F855" t="s">
        <v>66</v>
      </c>
      <c r="G855" t="s">
        <v>67</v>
      </c>
      <c r="H855" t="s">
        <v>48</v>
      </c>
      <c r="I855" t="s">
        <v>1934</v>
      </c>
      <c r="J855" t="s">
        <v>10</v>
      </c>
      <c r="K855" t="s">
        <v>24</v>
      </c>
      <c r="L855" t="s">
        <v>5</v>
      </c>
      <c r="M855">
        <v>114.9</v>
      </c>
      <c r="N855">
        <v>5</v>
      </c>
      <c r="O855">
        <v>0</v>
      </c>
      <c r="P855">
        <v>39.066000000000003</v>
      </c>
      <c r="Q855" s="1">
        <v>0.34</v>
      </c>
      <c r="R855" t="s">
        <v>4</v>
      </c>
      <c r="S855" t="s">
        <v>394</v>
      </c>
    </row>
    <row r="856" spans="1:19" x14ac:dyDescent="0.3">
      <c r="A856">
        <v>3242</v>
      </c>
      <c r="B856" t="s">
        <v>1935</v>
      </c>
      <c r="C856">
        <v>2016</v>
      </c>
      <c r="D856" t="s">
        <v>529</v>
      </c>
      <c r="E856" t="s">
        <v>13</v>
      </c>
      <c r="F856" t="s">
        <v>145</v>
      </c>
      <c r="G856" t="s">
        <v>74</v>
      </c>
      <c r="H856" t="s">
        <v>9</v>
      </c>
      <c r="I856" t="s">
        <v>1936</v>
      </c>
      <c r="J856" t="s">
        <v>17</v>
      </c>
      <c r="K856" t="s">
        <v>23</v>
      </c>
      <c r="L856" t="s">
        <v>53</v>
      </c>
      <c r="M856">
        <v>56.45</v>
      </c>
      <c r="N856">
        <v>5</v>
      </c>
      <c r="O856">
        <v>0</v>
      </c>
      <c r="P856">
        <v>14.677</v>
      </c>
      <c r="Q856" s="1">
        <v>0.26</v>
      </c>
      <c r="R856" t="s">
        <v>4</v>
      </c>
      <c r="S856" t="s">
        <v>394</v>
      </c>
    </row>
    <row r="857" spans="1:19" x14ac:dyDescent="0.3">
      <c r="A857">
        <v>3253</v>
      </c>
      <c r="B857" t="s">
        <v>1937</v>
      </c>
      <c r="C857">
        <v>2017</v>
      </c>
      <c r="D857" t="s">
        <v>399</v>
      </c>
      <c r="E857" t="s">
        <v>35</v>
      </c>
      <c r="F857" t="s">
        <v>70</v>
      </c>
      <c r="G857" t="s">
        <v>56</v>
      </c>
      <c r="H857" t="s">
        <v>38</v>
      </c>
      <c r="I857" t="s">
        <v>778</v>
      </c>
      <c r="J857" t="s">
        <v>17</v>
      </c>
      <c r="K857" t="s">
        <v>25</v>
      </c>
      <c r="L857" t="s">
        <v>5</v>
      </c>
      <c r="M857">
        <v>7.056</v>
      </c>
      <c r="N857">
        <v>3</v>
      </c>
      <c r="O857">
        <v>0.2</v>
      </c>
      <c r="P857">
        <v>2.2050000000000001</v>
      </c>
      <c r="Q857" s="1">
        <v>0.3125</v>
      </c>
      <c r="R857" t="s">
        <v>4</v>
      </c>
      <c r="S857" t="s">
        <v>408</v>
      </c>
    </row>
    <row r="858" spans="1:19" x14ac:dyDescent="0.3">
      <c r="A858">
        <v>3266</v>
      </c>
      <c r="B858" t="s">
        <v>1938</v>
      </c>
      <c r="C858">
        <v>2014</v>
      </c>
      <c r="D858" t="s">
        <v>399</v>
      </c>
      <c r="E858" t="s">
        <v>6</v>
      </c>
      <c r="F858" t="s">
        <v>46</v>
      </c>
      <c r="G858" t="s">
        <v>47</v>
      </c>
      <c r="H858" t="s">
        <v>48</v>
      </c>
      <c r="I858" t="s">
        <v>1939</v>
      </c>
      <c r="J858" t="s">
        <v>17</v>
      </c>
      <c r="K858" t="s">
        <v>23</v>
      </c>
      <c r="L858" t="s">
        <v>19</v>
      </c>
      <c r="M858">
        <v>281.904</v>
      </c>
      <c r="N858">
        <v>2</v>
      </c>
      <c r="O858">
        <v>0.2</v>
      </c>
      <c r="P858">
        <v>10.571400000000001</v>
      </c>
      <c r="Q858" s="1">
        <v>3.7499999999999999E-2</v>
      </c>
      <c r="R858" t="s">
        <v>4</v>
      </c>
      <c r="S858" t="s">
        <v>408</v>
      </c>
    </row>
    <row r="859" spans="1:19" x14ac:dyDescent="0.3">
      <c r="A859">
        <v>3268</v>
      </c>
      <c r="B859" t="s">
        <v>1940</v>
      </c>
      <c r="C859">
        <v>2014</v>
      </c>
      <c r="D859" t="s">
        <v>417</v>
      </c>
      <c r="E859" t="s">
        <v>6</v>
      </c>
      <c r="F859" t="s">
        <v>78</v>
      </c>
      <c r="G859" t="s">
        <v>79</v>
      </c>
      <c r="H859" t="s">
        <v>9</v>
      </c>
      <c r="I859" t="s">
        <v>1941</v>
      </c>
      <c r="J859" t="s">
        <v>26</v>
      </c>
      <c r="K859" t="s">
        <v>27</v>
      </c>
      <c r="L859" t="s">
        <v>19</v>
      </c>
      <c r="M859">
        <v>135.97999999999999</v>
      </c>
      <c r="N859">
        <v>2</v>
      </c>
      <c r="O859">
        <v>0</v>
      </c>
      <c r="P859">
        <v>33.994999999999997</v>
      </c>
      <c r="Q859" s="1">
        <v>0.25</v>
      </c>
      <c r="R859" t="s">
        <v>4</v>
      </c>
      <c r="S859" t="s">
        <v>394</v>
      </c>
    </row>
    <row r="860" spans="1:19" x14ac:dyDescent="0.3">
      <c r="A860">
        <v>3270</v>
      </c>
      <c r="B860" t="s">
        <v>1942</v>
      </c>
      <c r="C860">
        <v>2014</v>
      </c>
      <c r="D860" t="s">
        <v>425</v>
      </c>
      <c r="E860" t="s">
        <v>13</v>
      </c>
      <c r="F860" t="s">
        <v>321</v>
      </c>
      <c r="G860" t="s">
        <v>322</v>
      </c>
      <c r="H860" t="s">
        <v>38</v>
      </c>
      <c r="I860" t="s">
        <v>1943</v>
      </c>
      <c r="J860" t="s">
        <v>26</v>
      </c>
      <c r="K860" t="s">
        <v>50</v>
      </c>
      <c r="L860" t="s">
        <v>19</v>
      </c>
      <c r="M860">
        <v>2.97</v>
      </c>
      <c r="N860">
        <v>3</v>
      </c>
      <c r="O860">
        <v>0</v>
      </c>
      <c r="P860">
        <v>1.3068</v>
      </c>
      <c r="Q860" s="1">
        <v>0.44</v>
      </c>
      <c r="R860" t="s">
        <v>4</v>
      </c>
      <c r="S860" t="s">
        <v>394</v>
      </c>
    </row>
    <row r="861" spans="1:19" x14ac:dyDescent="0.3">
      <c r="A861">
        <v>3292</v>
      </c>
      <c r="B861" t="s">
        <v>1944</v>
      </c>
      <c r="C861">
        <v>2016</v>
      </c>
      <c r="D861" t="s">
        <v>399</v>
      </c>
      <c r="E861" t="s">
        <v>6</v>
      </c>
      <c r="F861" t="s">
        <v>341</v>
      </c>
      <c r="G861" t="s">
        <v>61</v>
      </c>
      <c r="H861" t="s">
        <v>38</v>
      </c>
      <c r="I861" t="s">
        <v>857</v>
      </c>
      <c r="J861" t="s">
        <v>17</v>
      </c>
      <c r="K861" t="s">
        <v>25</v>
      </c>
      <c r="L861" t="s">
        <v>19</v>
      </c>
      <c r="M861">
        <v>11.68</v>
      </c>
      <c r="N861">
        <v>2</v>
      </c>
      <c r="O861">
        <v>0</v>
      </c>
      <c r="P861">
        <v>3.504</v>
      </c>
      <c r="Q861" s="1">
        <v>0.3</v>
      </c>
      <c r="R861" t="s">
        <v>4</v>
      </c>
      <c r="S861" t="s">
        <v>394</v>
      </c>
    </row>
    <row r="862" spans="1:19" x14ac:dyDescent="0.3">
      <c r="A862">
        <v>3295</v>
      </c>
      <c r="B862" t="s">
        <v>1945</v>
      </c>
      <c r="C862">
        <v>2014</v>
      </c>
      <c r="D862" t="s">
        <v>420</v>
      </c>
      <c r="E862" t="s">
        <v>6</v>
      </c>
      <c r="F862" t="s">
        <v>126</v>
      </c>
      <c r="G862" t="s">
        <v>37</v>
      </c>
      <c r="H862" t="s">
        <v>38</v>
      </c>
      <c r="I862" t="s">
        <v>945</v>
      </c>
      <c r="J862" t="s">
        <v>17</v>
      </c>
      <c r="K862" t="s">
        <v>28</v>
      </c>
      <c r="L862" t="s">
        <v>53</v>
      </c>
      <c r="M862">
        <v>30.96</v>
      </c>
      <c r="N862">
        <v>8</v>
      </c>
      <c r="O862">
        <v>0.8</v>
      </c>
      <c r="P862">
        <v>-52.631999999999998</v>
      </c>
      <c r="Q862" s="1">
        <v>-1.7</v>
      </c>
      <c r="R862" t="s">
        <v>401</v>
      </c>
      <c r="S862" t="s">
        <v>402</v>
      </c>
    </row>
    <row r="863" spans="1:19" x14ac:dyDescent="0.3">
      <c r="A863">
        <v>3318</v>
      </c>
      <c r="B863" t="s">
        <v>1946</v>
      </c>
      <c r="C863">
        <v>2015</v>
      </c>
      <c r="D863" t="s">
        <v>428</v>
      </c>
      <c r="E863" t="s">
        <v>6</v>
      </c>
      <c r="F863" t="s">
        <v>120</v>
      </c>
      <c r="G863" t="s">
        <v>15</v>
      </c>
      <c r="H863" t="s">
        <v>16</v>
      </c>
      <c r="I863" t="s">
        <v>1005</v>
      </c>
      <c r="J863" t="s">
        <v>17</v>
      </c>
      <c r="K863" t="s">
        <v>25</v>
      </c>
      <c r="L863" t="s">
        <v>19</v>
      </c>
      <c r="M863">
        <v>181.35</v>
      </c>
      <c r="N863">
        <v>9</v>
      </c>
      <c r="O863">
        <v>0</v>
      </c>
      <c r="P863">
        <v>48.964500000000001</v>
      </c>
      <c r="Q863" s="1">
        <v>0.27</v>
      </c>
      <c r="R863" t="s">
        <v>4</v>
      </c>
      <c r="S863" t="s">
        <v>394</v>
      </c>
    </row>
    <row r="864" spans="1:19" x14ac:dyDescent="0.3">
      <c r="A864">
        <v>3323</v>
      </c>
      <c r="B864" t="s">
        <v>1947</v>
      </c>
      <c r="C864">
        <v>2015</v>
      </c>
      <c r="D864" t="s">
        <v>425</v>
      </c>
      <c r="E864" t="s">
        <v>35</v>
      </c>
      <c r="F864" t="s">
        <v>66</v>
      </c>
      <c r="G864" t="s">
        <v>67</v>
      </c>
      <c r="H864" t="s">
        <v>48</v>
      </c>
      <c r="I864" t="s">
        <v>1948</v>
      </c>
      <c r="J864" t="s">
        <v>17</v>
      </c>
      <c r="K864" t="s">
        <v>29</v>
      </c>
      <c r="L864" t="s">
        <v>19</v>
      </c>
      <c r="M864">
        <v>68.94</v>
      </c>
      <c r="N864">
        <v>3</v>
      </c>
      <c r="O864">
        <v>0</v>
      </c>
      <c r="P864">
        <v>20.681999999999999</v>
      </c>
      <c r="Q864" s="1">
        <v>0.3</v>
      </c>
      <c r="R864" t="s">
        <v>4</v>
      </c>
      <c r="S864" t="s">
        <v>394</v>
      </c>
    </row>
    <row r="865" spans="1:19" x14ac:dyDescent="0.3">
      <c r="A865">
        <v>3348</v>
      </c>
      <c r="B865" t="s">
        <v>1949</v>
      </c>
      <c r="C865">
        <v>2015</v>
      </c>
      <c r="D865" t="s">
        <v>420</v>
      </c>
      <c r="E865" t="s">
        <v>13</v>
      </c>
      <c r="F865" t="s">
        <v>351</v>
      </c>
      <c r="G865" t="s">
        <v>15</v>
      </c>
      <c r="H865" t="s">
        <v>16</v>
      </c>
      <c r="I865" t="s">
        <v>1950</v>
      </c>
      <c r="J865" t="s">
        <v>17</v>
      </c>
      <c r="K865" t="s">
        <v>25</v>
      </c>
      <c r="L865" t="s">
        <v>19</v>
      </c>
      <c r="M865">
        <v>50.8</v>
      </c>
      <c r="N865">
        <v>5</v>
      </c>
      <c r="O865">
        <v>0</v>
      </c>
      <c r="P865">
        <v>13.208</v>
      </c>
      <c r="Q865" s="1">
        <v>0.26</v>
      </c>
      <c r="R865" t="s">
        <v>4</v>
      </c>
      <c r="S865" t="s">
        <v>394</v>
      </c>
    </row>
    <row r="866" spans="1:19" x14ac:dyDescent="0.3">
      <c r="A866">
        <v>3350</v>
      </c>
      <c r="B866" t="s">
        <v>1951</v>
      </c>
      <c r="C866">
        <v>2016</v>
      </c>
      <c r="D866" t="s">
        <v>420</v>
      </c>
      <c r="E866" t="s">
        <v>6</v>
      </c>
      <c r="F866" t="s">
        <v>33</v>
      </c>
      <c r="G866" t="s">
        <v>34</v>
      </c>
      <c r="H866" t="s">
        <v>16</v>
      </c>
      <c r="I866" t="s">
        <v>1034</v>
      </c>
      <c r="J866" t="s">
        <v>17</v>
      </c>
      <c r="K866" t="s">
        <v>28</v>
      </c>
      <c r="L866" t="s">
        <v>19</v>
      </c>
      <c r="M866">
        <v>15.712</v>
      </c>
      <c r="N866">
        <v>4</v>
      </c>
      <c r="O866">
        <v>0.2</v>
      </c>
      <c r="P866">
        <v>5.6955999999999998</v>
      </c>
      <c r="Q866" s="1">
        <v>0.36249999999999999</v>
      </c>
      <c r="R866" t="s">
        <v>4</v>
      </c>
      <c r="S866" t="s">
        <v>408</v>
      </c>
    </row>
    <row r="867" spans="1:19" x14ac:dyDescent="0.3">
      <c r="A867">
        <v>3352</v>
      </c>
      <c r="B867" t="s">
        <v>1952</v>
      </c>
      <c r="C867">
        <v>2014</v>
      </c>
      <c r="D867" t="s">
        <v>428</v>
      </c>
      <c r="E867" t="s">
        <v>13</v>
      </c>
      <c r="F867" t="s">
        <v>134</v>
      </c>
      <c r="G867" t="s">
        <v>15</v>
      </c>
      <c r="H867" t="s">
        <v>16</v>
      </c>
      <c r="I867" t="s">
        <v>1953</v>
      </c>
      <c r="J867" t="s">
        <v>10</v>
      </c>
      <c r="K867" t="s">
        <v>11</v>
      </c>
      <c r="L867" t="s">
        <v>19</v>
      </c>
      <c r="M867">
        <v>435.99900000000002</v>
      </c>
      <c r="N867">
        <v>3</v>
      </c>
      <c r="O867">
        <v>0.15</v>
      </c>
      <c r="P867">
        <v>20.517600000000002</v>
      </c>
      <c r="Q867" s="1">
        <v>4.7058823529411799E-2</v>
      </c>
      <c r="R867" t="s">
        <v>4</v>
      </c>
      <c r="S867" t="s">
        <v>408</v>
      </c>
    </row>
    <row r="868" spans="1:19" x14ac:dyDescent="0.3">
      <c r="A868">
        <v>3354</v>
      </c>
      <c r="B868" t="s">
        <v>1954</v>
      </c>
      <c r="C868">
        <v>2014</v>
      </c>
      <c r="D868" t="s">
        <v>425</v>
      </c>
      <c r="E868" t="s">
        <v>13</v>
      </c>
      <c r="F868" t="s">
        <v>96</v>
      </c>
      <c r="G868" t="s">
        <v>118</v>
      </c>
      <c r="H868" t="s">
        <v>48</v>
      </c>
      <c r="I868" t="s">
        <v>1955</v>
      </c>
      <c r="J868" t="s">
        <v>26</v>
      </c>
      <c r="K868" t="s">
        <v>27</v>
      </c>
      <c r="L868" t="s">
        <v>19</v>
      </c>
      <c r="M868">
        <v>359.98</v>
      </c>
      <c r="N868">
        <v>2</v>
      </c>
      <c r="O868">
        <v>0</v>
      </c>
      <c r="P868">
        <v>93.594800000000006</v>
      </c>
      <c r="Q868" s="1">
        <v>0.26</v>
      </c>
      <c r="R868" t="s">
        <v>4</v>
      </c>
      <c r="S868" t="s">
        <v>394</v>
      </c>
    </row>
    <row r="869" spans="1:19" x14ac:dyDescent="0.3">
      <c r="A869">
        <v>3366</v>
      </c>
      <c r="B869" t="s">
        <v>1956</v>
      </c>
      <c r="C869">
        <v>2014</v>
      </c>
      <c r="D869" t="s">
        <v>430</v>
      </c>
      <c r="E869" t="s">
        <v>6</v>
      </c>
      <c r="F869" t="s">
        <v>204</v>
      </c>
      <c r="G869" t="s">
        <v>15</v>
      </c>
      <c r="H869" t="s">
        <v>16</v>
      </c>
      <c r="I869" t="s">
        <v>1957</v>
      </c>
      <c r="J869" t="s">
        <v>10</v>
      </c>
      <c r="K869" t="s">
        <v>11</v>
      </c>
      <c r="L869" t="s">
        <v>53</v>
      </c>
      <c r="M869">
        <v>290.666</v>
      </c>
      <c r="N869">
        <v>2</v>
      </c>
      <c r="O869">
        <v>0.15</v>
      </c>
      <c r="P869">
        <v>3.4196</v>
      </c>
      <c r="Q869" s="1">
        <v>1.1764705882352899E-2</v>
      </c>
      <c r="R869" t="s">
        <v>4</v>
      </c>
      <c r="S869" t="s">
        <v>408</v>
      </c>
    </row>
    <row r="870" spans="1:19" x14ac:dyDescent="0.3">
      <c r="A870">
        <v>3367</v>
      </c>
      <c r="B870" t="s">
        <v>1958</v>
      </c>
      <c r="C870">
        <v>2014</v>
      </c>
      <c r="D870" t="s">
        <v>425</v>
      </c>
      <c r="E870" t="s">
        <v>13</v>
      </c>
      <c r="F870" t="s">
        <v>126</v>
      </c>
      <c r="G870" t="s">
        <v>37</v>
      </c>
      <c r="H870" t="s">
        <v>38</v>
      </c>
      <c r="I870" t="s">
        <v>1959</v>
      </c>
      <c r="J870" t="s">
        <v>17</v>
      </c>
      <c r="K870" t="s">
        <v>32</v>
      </c>
      <c r="L870" t="s">
        <v>19</v>
      </c>
      <c r="M870">
        <v>10.368</v>
      </c>
      <c r="N870">
        <v>2</v>
      </c>
      <c r="O870">
        <v>0.2</v>
      </c>
      <c r="P870">
        <v>3.6288</v>
      </c>
      <c r="Q870" s="1">
        <v>0.35</v>
      </c>
      <c r="R870" t="s">
        <v>4</v>
      </c>
      <c r="S870" t="s">
        <v>408</v>
      </c>
    </row>
    <row r="871" spans="1:19" x14ac:dyDescent="0.3">
      <c r="A871">
        <v>3371</v>
      </c>
      <c r="B871" t="s">
        <v>1960</v>
      </c>
      <c r="C871">
        <v>2016</v>
      </c>
      <c r="D871" t="s">
        <v>447</v>
      </c>
      <c r="E871" t="s">
        <v>6</v>
      </c>
      <c r="F871" t="s">
        <v>181</v>
      </c>
      <c r="G871" t="s">
        <v>110</v>
      </c>
      <c r="H871" t="s">
        <v>38</v>
      </c>
      <c r="I871" t="s">
        <v>1559</v>
      </c>
      <c r="J871" t="s">
        <v>26</v>
      </c>
      <c r="K871" t="s">
        <v>50</v>
      </c>
      <c r="L871" t="s">
        <v>158</v>
      </c>
      <c r="M871">
        <v>1287.45</v>
      </c>
      <c r="N871">
        <v>5</v>
      </c>
      <c r="O871">
        <v>0</v>
      </c>
      <c r="P871">
        <v>244.6155</v>
      </c>
      <c r="Q871" s="1">
        <v>0.19</v>
      </c>
      <c r="R871" t="s">
        <v>4</v>
      </c>
      <c r="S871" t="s">
        <v>394</v>
      </c>
    </row>
    <row r="872" spans="1:19" x14ac:dyDescent="0.3">
      <c r="A872">
        <v>3396</v>
      </c>
      <c r="B872" t="s">
        <v>1961</v>
      </c>
      <c r="C872">
        <v>2017</v>
      </c>
      <c r="D872" t="s">
        <v>425</v>
      </c>
      <c r="E872" t="s">
        <v>35</v>
      </c>
      <c r="F872" t="s">
        <v>290</v>
      </c>
      <c r="G872" t="s">
        <v>65</v>
      </c>
      <c r="H872" t="s">
        <v>38</v>
      </c>
      <c r="I872" t="s">
        <v>1962</v>
      </c>
      <c r="J872" t="s">
        <v>17</v>
      </c>
      <c r="K872" t="s">
        <v>23</v>
      </c>
      <c r="L872" t="s">
        <v>19</v>
      </c>
      <c r="M872">
        <v>443.92</v>
      </c>
      <c r="N872">
        <v>4</v>
      </c>
      <c r="O872">
        <v>0</v>
      </c>
      <c r="P872">
        <v>13.317600000000001</v>
      </c>
      <c r="Q872" s="1">
        <v>0.03</v>
      </c>
      <c r="R872" t="s">
        <v>4</v>
      </c>
      <c r="S872" t="s">
        <v>394</v>
      </c>
    </row>
    <row r="873" spans="1:19" x14ac:dyDescent="0.3">
      <c r="A873">
        <v>3399</v>
      </c>
      <c r="B873" t="s">
        <v>1963</v>
      </c>
      <c r="C873">
        <v>2014</v>
      </c>
      <c r="D873" t="s">
        <v>392</v>
      </c>
      <c r="E873" t="s">
        <v>13</v>
      </c>
      <c r="F873" t="s">
        <v>172</v>
      </c>
      <c r="G873" t="s">
        <v>8</v>
      </c>
      <c r="H873" t="s">
        <v>9</v>
      </c>
      <c r="I873" t="s">
        <v>1087</v>
      </c>
      <c r="J873" t="s">
        <v>26</v>
      </c>
      <c r="K873" t="s">
        <v>27</v>
      </c>
      <c r="L873" t="s">
        <v>19</v>
      </c>
      <c r="M873">
        <v>36.99</v>
      </c>
      <c r="N873">
        <v>1</v>
      </c>
      <c r="O873">
        <v>0</v>
      </c>
      <c r="P873">
        <v>9.9872999999999994</v>
      </c>
      <c r="Q873" s="1">
        <v>0.27</v>
      </c>
      <c r="R873" t="s">
        <v>4</v>
      </c>
      <c r="S873" t="s">
        <v>394</v>
      </c>
    </row>
    <row r="874" spans="1:19" x14ac:dyDescent="0.3">
      <c r="A874">
        <v>3405</v>
      </c>
      <c r="B874" t="s">
        <v>1964</v>
      </c>
      <c r="C874">
        <v>2015</v>
      </c>
      <c r="D874" t="s">
        <v>399</v>
      </c>
      <c r="E874" t="s">
        <v>6</v>
      </c>
      <c r="F874" t="s">
        <v>14</v>
      </c>
      <c r="G874" t="s">
        <v>15</v>
      </c>
      <c r="H874" t="s">
        <v>16</v>
      </c>
      <c r="I874" t="s">
        <v>443</v>
      </c>
      <c r="J874" t="s">
        <v>17</v>
      </c>
      <c r="K874" t="s">
        <v>23</v>
      </c>
      <c r="L874" t="s">
        <v>158</v>
      </c>
      <c r="M874">
        <v>77.88</v>
      </c>
      <c r="N874">
        <v>2</v>
      </c>
      <c r="O874">
        <v>0</v>
      </c>
      <c r="P874">
        <v>3.8940000000000001</v>
      </c>
      <c r="Q874" s="1">
        <v>0.05</v>
      </c>
      <c r="R874" t="s">
        <v>4</v>
      </c>
      <c r="S874" t="s">
        <v>394</v>
      </c>
    </row>
    <row r="875" spans="1:19" x14ac:dyDescent="0.3">
      <c r="A875">
        <v>3411</v>
      </c>
      <c r="B875" t="s">
        <v>1965</v>
      </c>
      <c r="C875">
        <v>2016</v>
      </c>
      <c r="D875" t="s">
        <v>428</v>
      </c>
      <c r="E875" t="s">
        <v>13</v>
      </c>
      <c r="F875" t="s">
        <v>43</v>
      </c>
      <c r="G875" t="s">
        <v>15</v>
      </c>
      <c r="H875" t="s">
        <v>16</v>
      </c>
      <c r="I875" t="s">
        <v>1966</v>
      </c>
      <c r="J875" t="s">
        <v>17</v>
      </c>
      <c r="K875" t="s">
        <v>32</v>
      </c>
      <c r="L875" t="s">
        <v>19</v>
      </c>
      <c r="M875">
        <v>65.790000000000006</v>
      </c>
      <c r="N875">
        <v>9</v>
      </c>
      <c r="O875">
        <v>0</v>
      </c>
      <c r="P875">
        <v>30.263400000000001</v>
      </c>
      <c r="Q875" s="1">
        <v>0.46</v>
      </c>
      <c r="R875" t="s">
        <v>4</v>
      </c>
      <c r="S875" t="s">
        <v>394</v>
      </c>
    </row>
    <row r="876" spans="1:19" x14ac:dyDescent="0.3">
      <c r="A876">
        <v>3436</v>
      </c>
      <c r="B876" t="s">
        <v>1967</v>
      </c>
      <c r="C876">
        <v>2015</v>
      </c>
      <c r="D876" t="s">
        <v>428</v>
      </c>
      <c r="E876" t="s">
        <v>6</v>
      </c>
      <c r="F876" t="s">
        <v>70</v>
      </c>
      <c r="G876" t="s">
        <v>56</v>
      </c>
      <c r="H876" t="s">
        <v>38</v>
      </c>
      <c r="I876" t="s">
        <v>793</v>
      </c>
      <c r="J876" t="s">
        <v>17</v>
      </c>
      <c r="K876" t="s">
        <v>28</v>
      </c>
      <c r="L876" t="s">
        <v>53</v>
      </c>
      <c r="M876">
        <v>15.08</v>
      </c>
      <c r="N876">
        <v>2</v>
      </c>
      <c r="O876">
        <v>0.8</v>
      </c>
      <c r="P876">
        <v>-22.62</v>
      </c>
      <c r="Q876" s="1">
        <v>-1.5</v>
      </c>
      <c r="R876" t="s">
        <v>401</v>
      </c>
      <c r="S876" t="s">
        <v>402</v>
      </c>
    </row>
    <row r="877" spans="1:19" x14ac:dyDescent="0.3">
      <c r="A877">
        <v>3445</v>
      </c>
      <c r="B877" t="s">
        <v>1968</v>
      </c>
      <c r="C877">
        <v>2016</v>
      </c>
      <c r="D877" t="s">
        <v>425</v>
      </c>
      <c r="E877" t="s">
        <v>13</v>
      </c>
      <c r="F877" t="s">
        <v>46</v>
      </c>
      <c r="G877" t="s">
        <v>47</v>
      </c>
      <c r="H877" t="s">
        <v>48</v>
      </c>
      <c r="I877" t="s">
        <v>450</v>
      </c>
      <c r="J877" t="s">
        <v>17</v>
      </c>
      <c r="K877" t="s">
        <v>23</v>
      </c>
      <c r="L877" t="s">
        <v>19</v>
      </c>
      <c r="M877">
        <v>84.784000000000006</v>
      </c>
      <c r="N877">
        <v>2</v>
      </c>
      <c r="O877">
        <v>0.2</v>
      </c>
      <c r="P877">
        <v>-16.956800000000001</v>
      </c>
      <c r="Q877" s="1">
        <v>-0.2</v>
      </c>
      <c r="R877" t="s">
        <v>401</v>
      </c>
      <c r="S877" t="s">
        <v>408</v>
      </c>
    </row>
    <row r="878" spans="1:19" x14ac:dyDescent="0.3">
      <c r="A878">
        <v>3447</v>
      </c>
      <c r="B878" t="s">
        <v>1969</v>
      </c>
      <c r="C878">
        <v>2016</v>
      </c>
      <c r="D878" t="s">
        <v>420</v>
      </c>
      <c r="E878" t="s">
        <v>13</v>
      </c>
      <c r="F878" t="s">
        <v>66</v>
      </c>
      <c r="G878" t="s">
        <v>67</v>
      </c>
      <c r="H878" t="s">
        <v>48</v>
      </c>
      <c r="I878" t="s">
        <v>1137</v>
      </c>
      <c r="J878" t="s">
        <v>17</v>
      </c>
      <c r="K878" t="s">
        <v>32</v>
      </c>
      <c r="L878" t="s">
        <v>53</v>
      </c>
      <c r="M878">
        <v>70.88</v>
      </c>
      <c r="N878">
        <v>2</v>
      </c>
      <c r="O878">
        <v>0</v>
      </c>
      <c r="P878">
        <v>33.313600000000001</v>
      </c>
      <c r="Q878" s="1">
        <v>0.47</v>
      </c>
      <c r="R878" t="s">
        <v>4</v>
      </c>
      <c r="S878" t="s">
        <v>394</v>
      </c>
    </row>
    <row r="879" spans="1:19" x14ac:dyDescent="0.3">
      <c r="A879">
        <v>3449</v>
      </c>
      <c r="B879" t="s">
        <v>1970</v>
      </c>
      <c r="C879">
        <v>2016</v>
      </c>
      <c r="D879" t="s">
        <v>399</v>
      </c>
      <c r="E879" t="s">
        <v>6</v>
      </c>
      <c r="F879" t="s">
        <v>14</v>
      </c>
      <c r="G879" t="s">
        <v>15</v>
      </c>
      <c r="H879" t="s">
        <v>16</v>
      </c>
      <c r="I879" t="s">
        <v>1971</v>
      </c>
      <c r="J879" t="s">
        <v>17</v>
      </c>
      <c r="K879" t="s">
        <v>28</v>
      </c>
      <c r="L879" t="s">
        <v>19</v>
      </c>
      <c r="M879">
        <v>27.263999999999999</v>
      </c>
      <c r="N879">
        <v>2</v>
      </c>
      <c r="O879">
        <v>0.2</v>
      </c>
      <c r="P879">
        <v>8.8607999999999993</v>
      </c>
      <c r="Q879" s="1">
        <v>0.32500000000000001</v>
      </c>
      <c r="R879" t="s">
        <v>4</v>
      </c>
      <c r="S879" t="s">
        <v>408</v>
      </c>
    </row>
    <row r="880" spans="1:19" x14ac:dyDescent="0.3">
      <c r="A880">
        <v>3453</v>
      </c>
      <c r="B880" t="s">
        <v>1972</v>
      </c>
      <c r="C880">
        <v>2014</v>
      </c>
      <c r="D880" t="s">
        <v>447</v>
      </c>
      <c r="E880" t="s">
        <v>35</v>
      </c>
      <c r="F880" t="s">
        <v>297</v>
      </c>
      <c r="G880" t="s">
        <v>31</v>
      </c>
      <c r="H880" t="s">
        <v>9</v>
      </c>
      <c r="I880" t="s">
        <v>1973</v>
      </c>
      <c r="J880" t="s">
        <v>26</v>
      </c>
      <c r="K880" t="s">
        <v>27</v>
      </c>
      <c r="L880" t="s">
        <v>5</v>
      </c>
      <c r="M880">
        <v>471.92</v>
      </c>
      <c r="N880">
        <v>2</v>
      </c>
      <c r="O880">
        <v>0.2</v>
      </c>
      <c r="P880">
        <v>29.495000000000001</v>
      </c>
      <c r="Q880" s="1">
        <v>6.25E-2</v>
      </c>
      <c r="R880" t="s">
        <v>4</v>
      </c>
      <c r="S880" t="s">
        <v>408</v>
      </c>
    </row>
    <row r="881" spans="1:19" x14ac:dyDescent="0.3">
      <c r="A881">
        <v>3454</v>
      </c>
      <c r="B881" t="s">
        <v>1974</v>
      </c>
      <c r="C881">
        <v>2015</v>
      </c>
      <c r="D881" t="s">
        <v>447</v>
      </c>
      <c r="E881" t="s">
        <v>6</v>
      </c>
      <c r="F881" t="s">
        <v>261</v>
      </c>
      <c r="G881" t="s">
        <v>157</v>
      </c>
      <c r="H881" t="s">
        <v>9</v>
      </c>
      <c r="I881" t="s">
        <v>1975</v>
      </c>
      <c r="J881" t="s">
        <v>17</v>
      </c>
      <c r="K881" t="s">
        <v>28</v>
      </c>
      <c r="L881" t="s">
        <v>5</v>
      </c>
      <c r="M881">
        <v>58.72</v>
      </c>
      <c r="N881">
        <v>4</v>
      </c>
      <c r="O881">
        <v>0</v>
      </c>
      <c r="P881">
        <v>27.011199999999999</v>
      </c>
      <c r="Q881" s="1">
        <v>0.46</v>
      </c>
      <c r="R881" t="s">
        <v>4</v>
      </c>
      <c r="S881" t="s">
        <v>394</v>
      </c>
    </row>
    <row r="882" spans="1:19" x14ac:dyDescent="0.3">
      <c r="A882">
        <v>3456</v>
      </c>
      <c r="B882" t="s">
        <v>1976</v>
      </c>
      <c r="C882">
        <v>2016</v>
      </c>
      <c r="D882" t="s">
        <v>529</v>
      </c>
      <c r="E882" t="s">
        <v>6</v>
      </c>
      <c r="F882" t="s">
        <v>330</v>
      </c>
      <c r="G882" t="s">
        <v>77</v>
      </c>
      <c r="H882" t="s">
        <v>9</v>
      </c>
      <c r="I882" t="s">
        <v>1977</v>
      </c>
      <c r="J882" t="s">
        <v>17</v>
      </c>
      <c r="K882" t="s">
        <v>32</v>
      </c>
      <c r="L882" t="s">
        <v>19</v>
      </c>
      <c r="M882">
        <v>16.495999999999999</v>
      </c>
      <c r="N882">
        <v>2</v>
      </c>
      <c r="O882">
        <v>0.2</v>
      </c>
      <c r="P882">
        <v>5.5674000000000001</v>
      </c>
      <c r="Q882" s="1">
        <v>0.33750000000000002</v>
      </c>
      <c r="R882" t="s">
        <v>4</v>
      </c>
      <c r="S882" t="s">
        <v>408</v>
      </c>
    </row>
    <row r="883" spans="1:19" x14ac:dyDescent="0.3">
      <c r="A883">
        <v>3464</v>
      </c>
      <c r="B883" t="s">
        <v>1978</v>
      </c>
      <c r="C883">
        <v>2016</v>
      </c>
      <c r="D883" t="s">
        <v>392</v>
      </c>
      <c r="E883" t="s">
        <v>35</v>
      </c>
      <c r="F883" t="s">
        <v>179</v>
      </c>
      <c r="G883" t="s">
        <v>21</v>
      </c>
      <c r="H883" t="s">
        <v>9</v>
      </c>
      <c r="I883" t="s">
        <v>470</v>
      </c>
      <c r="J883" t="s">
        <v>17</v>
      </c>
      <c r="K883" t="s">
        <v>32</v>
      </c>
      <c r="L883" t="s">
        <v>19</v>
      </c>
      <c r="M883">
        <v>5.08</v>
      </c>
      <c r="N883">
        <v>1</v>
      </c>
      <c r="O883">
        <v>0.2</v>
      </c>
      <c r="P883">
        <v>1.651</v>
      </c>
      <c r="Q883" s="1">
        <v>0.32500000000000001</v>
      </c>
      <c r="R883" t="s">
        <v>4</v>
      </c>
      <c r="S883" t="s">
        <v>408</v>
      </c>
    </row>
    <row r="884" spans="1:19" x14ac:dyDescent="0.3">
      <c r="A884">
        <v>3469</v>
      </c>
      <c r="B884" t="s">
        <v>1979</v>
      </c>
      <c r="C884">
        <v>2016</v>
      </c>
      <c r="D884" t="s">
        <v>410</v>
      </c>
      <c r="E884" t="s">
        <v>6</v>
      </c>
      <c r="F884" t="s">
        <v>75</v>
      </c>
      <c r="G884" t="s">
        <v>175</v>
      </c>
      <c r="H884" t="s">
        <v>9</v>
      </c>
      <c r="I884" t="s">
        <v>1980</v>
      </c>
      <c r="J884" t="s">
        <v>10</v>
      </c>
      <c r="K884" t="s">
        <v>24</v>
      </c>
      <c r="L884" t="s">
        <v>19</v>
      </c>
      <c r="M884">
        <v>133.38</v>
      </c>
      <c r="N884">
        <v>6</v>
      </c>
      <c r="O884">
        <v>0</v>
      </c>
      <c r="P884">
        <v>58.687199999999997</v>
      </c>
      <c r="Q884" s="1">
        <v>0.44</v>
      </c>
      <c r="R884" t="s">
        <v>4</v>
      </c>
      <c r="S884" t="s">
        <v>394</v>
      </c>
    </row>
    <row r="885" spans="1:19" x14ac:dyDescent="0.3">
      <c r="A885">
        <v>3478</v>
      </c>
      <c r="B885" t="s">
        <v>1981</v>
      </c>
      <c r="C885">
        <v>2014</v>
      </c>
      <c r="D885" t="s">
        <v>420</v>
      </c>
      <c r="E885" t="s">
        <v>6</v>
      </c>
      <c r="F885" t="s">
        <v>352</v>
      </c>
      <c r="G885" t="s">
        <v>112</v>
      </c>
      <c r="H885" t="s">
        <v>16</v>
      </c>
      <c r="I885" t="s">
        <v>1982</v>
      </c>
      <c r="J885" t="s">
        <v>26</v>
      </c>
      <c r="K885" t="s">
        <v>50</v>
      </c>
      <c r="L885" t="s">
        <v>19</v>
      </c>
      <c r="M885">
        <v>92.52</v>
      </c>
      <c r="N885">
        <v>9</v>
      </c>
      <c r="O885">
        <v>0</v>
      </c>
      <c r="P885">
        <v>18.504000000000001</v>
      </c>
      <c r="Q885" s="1">
        <v>0.2</v>
      </c>
      <c r="R885" t="s">
        <v>4</v>
      </c>
      <c r="S885" t="s">
        <v>394</v>
      </c>
    </row>
    <row r="886" spans="1:19" x14ac:dyDescent="0.3">
      <c r="A886">
        <v>3482</v>
      </c>
      <c r="B886" t="s">
        <v>1983</v>
      </c>
      <c r="C886">
        <v>2014</v>
      </c>
      <c r="D886" t="s">
        <v>406</v>
      </c>
      <c r="E886" t="s">
        <v>6</v>
      </c>
      <c r="F886" t="s">
        <v>270</v>
      </c>
      <c r="G886" t="s">
        <v>79</v>
      </c>
      <c r="H886" t="s">
        <v>9</v>
      </c>
      <c r="I886" t="s">
        <v>1431</v>
      </c>
      <c r="J886" t="s">
        <v>10</v>
      </c>
      <c r="K886" t="s">
        <v>24</v>
      </c>
      <c r="L886" t="s">
        <v>53</v>
      </c>
      <c r="M886">
        <v>8.9600000000000009</v>
      </c>
      <c r="N886">
        <v>2</v>
      </c>
      <c r="O886">
        <v>0</v>
      </c>
      <c r="P886">
        <v>2.7776000000000001</v>
      </c>
      <c r="Q886" s="1">
        <v>0.31</v>
      </c>
      <c r="R886" t="s">
        <v>4</v>
      </c>
      <c r="S886" t="s">
        <v>394</v>
      </c>
    </row>
    <row r="887" spans="1:19" x14ac:dyDescent="0.3">
      <c r="A887">
        <v>3487</v>
      </c>
      <c r="B887" t="s">
        <v>1984</v>
      </c>
      <c r="C887">
        <v>2016</v>
      </c>
      <c r="D887" t="s">
        <v>392</v>
      </c>
      <c r="E887" t="s">
        <v>6</v>
      </c>
      <c r="F887" t="s">
        <v>353</v>
      </c>
      <c r="G887" t="s">
        <v>31</v>
      </c>
      <c r="H887" t="s">
        <v>9</v>
      </c>
      <c r="I887" t="s">
        <v>1985</v>
      </c>
      <c r="J887" t="s">
        <v>26</v>
      </c>
      <c r="K887" t="s">
        <v>27</v>
      </c>
      <c r="L887" t="s">
        <v>158</v>
      </c>
      <c r="M887">
        <v>36.192</v>
      </c>
      <c r="N887">
        <v>1</v>
      </c>
      <c r="O887">
        <v>0.2</v>
      </c>
      <c r="P887">
        <v>2.7143999999999999</v>
      </c>
      <c r="Q887" s="1">
        <v>7.4999999999999997E-2</v>
      </c>
      <c r="R887" t="s">
        <v>4</v>
      </c>
      <c r="S887" t="s">
        <v>408</v>
      </c>
    </row>
    <row r="888" spans="1:19" x14ac:dyDescent="0.3">
      <c r="A888">
        <v>3506</v>
      </c>
      <c r="B888" t="s">
        <v>1986</v>
      </c>
      <c r="C888">
        <v>2014</v>
      </c>
      <c r="D888" t="s">
        <v>396</v>
      </c>
      <c r="E888" t="s">
        <v>6</v>
      </c>
      <c r="F888" t="s">
        <v>288</v>
      </c>
      <c r="G888" t="s">
        <v>37</v>
      </c>
      <c r="H888" t="s">
        <v>38</v>
      </c>
      <c r="I888" t="s">
        <v>1987</v>
      </c>
      <c r="J888" t="s">
        <v>26</v>
      </c>
      <c r="K888" t="s">
        <v>27</v>
      </c>
      <c r="L888" t="s">
        <v>19</v>
      </c>
      <c r="M888">
        <v>201.584</v>
      </c>
      <c r="N888">
        <v>2</v>
      </c>
      <c r="O888">
        <v>0.2</v>
      </c>
      <c r="P888">
        <v>20.1584</v>
      </c>
      <c r="Q888" s="1">
        <v>0.1</v>
      </c>
      <c r="R888" t="s">
        <v>4</v>
      </c>
      <c r="S888" t="s">
        <v>408</v>
      </c>
    </row>
    <row r="889" spans="1:19" x14ac:dyDescent="0.3">
      <c r="A889">
        <v>3516</v>
      </c>
      <c r="B889" t="s">
        <v>1988</v>
      </c>
      <c r="C889">
        <v>2016</v>
      </c>
      <c r="D889" t="s">
        <v>410</v>
      </c>
      <c r="E889" t="s">
        <v>6</v>
      </c>
      <c r="F889" t="s">
        <v>75</v>
      </c>
      <c r="G889" t="s">
        <v>175</v>
      </c>
      <c r="H889" t="s">
        <v>9</v>
      </c>
      <c r="I889" t="s">
        <v>576</v>
      </c>
      <c r="J889" t="s">
        <v>26</v>
      </c>
      <c r="K889" t="s">
        <v>50</v>
      </c>
      <c r="L889" t="s">
        <v>19</v>
      </c>
      <c r="M889">
        <v>66.3</v>
      </c>
      <c r="N889">
        <v>3</v>
      </c>
      <c r="O889">
        <v>0</v>
      </c>
      <c r="P889">
        <v>8.6189999999999998</v>
      </c>
      <c r="Q889" s="1">
        <v>0.13</v>
      </c>
      <c r="R889" t="s">
        <v>4</v>
      </c>
      <c r="S889" t="s">
        <v>394</v>
      </c>
    </row>
    <row r="890" spans="1:19" x14ac:dyDescent="0.3">
      <c r="A890">
        <v>3517</v>
      </c>
      <c r="B890" t="s">
        <v>1989</v>
      </c>
      <c r="C890">
        <v>2016</v>
      </c>
      <c r="D890" t="s">
        <v>420</v>
      </c>
      <c r="E890" t="s">
        <v>6</v>
      </c>
      <c r="F890" t="s">
        <v>185</v>
      </c>
      <c r="G890" t="s">
        <v>31</v>
      </c>
      <c r="H890" t="s">
        <v>9</v>
      </c>
      <c r="I890" t="s">
        <v>1990</v>
      </c>
      <c r="J890" t="s">
        <v>17</v>
      </c>
      <c r="K890" t="s">
        <v>32</v>
      </c>
      <c r="L890" t="s">
        <v>53</v>
      </c>
      <c r="M890">
        <v>30.815999999999999</v>
      </c>
      <c r="N890">
        <v>9</v>
      </c>
      <c r="O890">
        <v>0.2</v>
      </c>
      <c r="P890">
        <v>9.6300000000000008</v>
      </c>
      <c r="Q890" s="1">
        <v>0.3125</v>
      </c>
      <c r="R890" t="s">
        <v>4</v>
      </c>
      <c r="S890" t="s">
        <v>408</v>
      </c>
    </row>
    <row r="891" spans="1:19" x14ac:dyDescent="0.3">
      <c r="A891">
        <v>3521</v>
      </c>
      <c r="B891" t="s">
        <v>1991</v>
      </c>
      <c r="C891">
        <v>2015</v>
      </c>
      <c r="D891" t="s">
        <v>406</v>
      </c>
      <c r="E891" t="s">
        <v>13</v>
      </c>
      <c r="F891" t="s">
        <v>323</v>
      </c>
      <c r="G891" t="s">
        <v>15</v>
      </c>
      <c r="H891" t="s">
        <v>16</v>
      </c>
      <c r="I891" t="s">
        <v>747</v>
      </c>
      <c r="J891" t="s">
        <v>17</v>
      </c>
      <c r="K891" t="s">
        <v>28</v>
      </c>
      <c r="L891" t="s">
        <v>19</v>
      </c>
      <c r="M891">
        <v>12.832000000000001</v>
      </c>
      <c r="N891">
        <v>2</v>
      </c>
      <c r="O891">
        <v>0.2</v>
      </c>
      <c r="P891">
        <v>4.3308</v>
      </c>
      <c r="Q891" s="1">
        <v>0.33750000000000002</v>
      </c>
      <c r="R891" t="s">
        <v>4</v>
      </c>
      <c r="S891" t="s">
        <v>408</v>
      </c>
    </row>
    <row r="892" spans="1:19" x14ac:dyDescent="0.3">
      <c r="A892">
        <v>3529</v>
      </c>
      <c r="B892" t="s">
        <v>1992</v>
      </c>
      <c r="C892">
        <v>2016</v>
      </c>
      <c r="D892" t="s">
        <v>396</v>
      </c>
      <c r="E892" t="s">
        <v>6</v>
      </c>
      <c r="F892" t="s">
        <v>134</v>
      </c>
      <c r="G892" t="s">
        <v>15</v>
      </c>
      <c r="H892" t="s">
        <v>16</v>
      </c>
      <c r="I892" t="s">
        <v>1993</v>
      </c>
      <c r="J892" t="s">
        <v>26</v>
      </c>
      <c r="K892" t="s">
        <v>27</v>
      </c>
      <c r="L892" t="s">
        <v>19</v>
      </c>
      <c r="M892">
        <v>38.24</v>
      </c>
      <c r="N892">
        <v>4</v>
      </c>
      <c r="O892">
        <v>0.2</v>
      </c>
      <c r="P892">
        <v>-9.56</v>
      </c>
      <c r="Q892" s="1">
        <v>-0.25</v>
      </c>
      <c r="R892" t="s">
        <v>401</v>
      </c>
      <c r="S892" t="s">
        <v>408</v>
      </c>
    </row>
    <row r="893" spans="1:19" x14ac:dyDescent="0.3">
      <c r="A893">
        <v>3533</v>
      </c>
      <c r="B893" t="s">
        <v>1994</v>
      </c>
      <c r="C893">
        <v>2014</v>
      </c>
      <c r="D893" t="s">
        <v>406</v>
      </c>
      <c r="E893" t="s">
        <v>6</v>
      </c>
      <c r="F893" t="s">
        <v>14</v>
      </c>
      <c r="G893" t="s">
        <v>15</v>
      </c>
      <c r="H893" t="s">
        <v>16</v>
      </c>
      <c r="I893" t="s">
        <v>1995</v>
      </c>
      <c r="J893" t="s">
        <v>26</v>
      </c>
      <c r="K893" t="s">
        <v>114</v>
      </c>
      <c r="L893" t="s">
        <v>19</v>
      </c>
      <c r="M893">
        <v>287.96800000000002</v>
      </c>
      <c r="N893">
        <v>4</v>
      </c>
      <c r="O893">
        <v>0.2</v>
      </c>
      <c r="P893">
        <v>97.1892</v>
      </c>
      <c r="Q893" s="1">
        <v>0.33750000000000002</v>
      </c>
      <c r="R893" t="s">
        <v>4</v>
      </c>
      <c r="S893" t="s">
        <v>408</v>
      </c>
    </row>
    <row r="894" spans="1:19" x14ac:dyDescent="0.3">
      <c r="A894">
        <v>3551</v>
      </c>
      <c r="B894" t="s">
        <v>1996</v>
      </c>
      <c r="C894">
        <v>2016</v>
      </c>
      <c r="D894" t="s">
        <v>447</v>
      </c>
      <c r="E894" t="s">
        <v>35</v>
      </c>
      <c r="F894" t="s">
        <v>70</v>
      </c>
      <c r="G894" t="s">
        <v>56</v>
      </c>
      <c r="H894" t="s">
        <v>38</v>
      </c>
      <c r="I894" t="s">
        <v>1997</v>
      </c>
      <c r="J894" t="s">
        <v>17</v>
      </c>
      <c r="K894" t="s">
        <v>32</v>
      </c>
      <c r="L894" t="s">
        <v>5</v>
      </c>
      <c r="M894">
        <v>45.527999999999999</v>
      </c>
      <c r="N894">
        <v>3</v>
      </c>
      <c r="O894">
        <v>0.2</v>
      </c>
      <c r="P894">
        <v>15.934799999999999</v>
      </c>
      <c r="Q894" s="1">
        <v>0.35</v>
      </c>
      <c r="R894" t="s">
        <v>4</v>
      </c>
      <c r="S894" t="s">
        <v>408</v>
      </c>
    </row>
    <row r="895" spans="1:19" x14ac:dyDescent="0.3">
      <c r="A895">
        <v>3555</v>
      </c>
      <c r="B895" t="s">
        <v>1998</v>
      </c>
      <c r="C895">
        <v>2014</v>
      </c>
      <c r="D895" t="s">
        <v>447</v>
      </c>
      <c r="E895" t="s">
        <v>6</v>
      </c>
      <c r="F895" t="s">
        <v>14</v>
      </c>
      <c r="G895" t="s">
        <v>15</v>
      </c>
      <c r="H895" t="s">
        <v>16</v>
      </c>
      <c r="I895" t="s">
        <v>882</v>
      </c>
      <c r="J895" t="s">
        <v>17</v>
      </c>
      <c r="K895" t="s">
        <v>23</v>
      </c>
      <c r="L895" t="s">
        <v>5</v>
      </c>
      <c r="M895">
        <v>330.4</v>
      </c>
      <c r="N895">
        <v>2</v>
      </c>
      <c r="O895">
        <v>0</v>
      </c>
      <c r="P895">
        <v>85.903999999999996</v>
      </c>
      <c r="Q895" s="1">
        <v>0.26</v>
      </c>
      <c r="R895" t="s">
        <v>4</v>
      </c>
      <c r="S895" t="s">
        <v>394</v>
      </c>
    </row>
    <row r="896" spans="1:19" x14ac:dyDescent="0.3">
      <c r="A896">
        <v>3565</v>
      </c>
      <c r="B896" t="s">
        <v>1999</v>
      </c>
      <c r="C896">
        <v>2016</v>
      </c>
      <c r="D896" t="s">
        <v>425</v>
      </c>
      <c r="E896" t="s">
        <v>6</v>
      </c>
      <c r="F896" t="s">
        <v>14</v>
      </c>
      <c r="G896" t="s">
        <v>15</v>
      </c>
      <c r="H896" t="s">
        <v>16</v>
      </c>
      <c r="I896" t="s">
        <v>2000</v>
      </c>
      <c r="J896" t="s">
        <v>17</v>
      </c>
      <c r="K896" t="s">
        <v>32</v>
      </c>
      <c r="L896" t="s">
        <v>53</v>
      </c>
      <c r="M896">
        <v>12.96</v>
      </c>
      <c r="N896">
        <v>2</v>
      </c>
      <c r="O896">
        <v>0</v>
      </c>
      <c r="P896">
        <v>6.2207999999999997</v>
      </c>
      <c r="Q896" s="1">
        <v>0.48</v>
      </c>
      <c r="R896" t="s">
        <v>4</v>
      </c>
      <c r="S896" t="s">
        <v>394</v>
      </c>
    </row>
    <row r="897" spans="1:19" x14ac:dyDescent="0.3">
      <c r="A897">
        <v>3583</v>
      </c>
      <c r="B897" t="s">
        <v>2001</v>
      </c>
      <c r="C897">
        <v>2015</v>
      </c>
      <c r="D897" t="s">
        <v>410</v>
      </c>
      <c r="E897" t="s">
        <v>13</v>
      </c>
      <c r="F897" t="s">
        <v>75</v>
      </c>
      <c r="G897" t="s">
        <v>61</v>
      </c>
      <c r="H897" t="s">
        <v>38</v>
      </c>
      <c r="I897" t="s">
        <v>2002</v>
      </c>
      <c r="J897" t="s">
        <v>17</v>
      </c>
      <c r="K897" t="s">
        <v>25</v>
      </c>
      <c r="L897" t="s">
        <v>19</v>
      </c>
      <c r="M897">
        <v>3.9</v>
      </c>
      <c r="N897">
        <v>2</v>
      </c>
      <c r="O897">
        <v>0</v>
      </c>
      <c r="P897">
        <v>1.5209999999999999</v>
      </c>
      <c r="Q897" s="1">
        <v>0.39</v>
      </c>
      <c r="R897" t="s">
        <v>4</v>
      </c>
      <c r="S897" t="s">
        <v>394</v>
      </c>
    </row>
    <row r="898" spans="1:19" x14ac:dyDescent="0.3">
      <c r="A898">
        <v>3612</v>
      </c>
      <c r="B898" t="s">
        <v>2003</v>
      </c>
      <c r="C898">
        <v>2016</v>
      </c>
      <c r="D898" t="s">
        <v>392</v>
      </c>
      <c r="E898" t="s">
        <v>13</v>
      </c>
      <c r="F898" t="s">
        <v>126</v>
      </c>
      <c r="G898" t="s">
        <v>37</v>
      </c>
      <c r="H898" t="s">
        <v>38</v>
      </c>
      <c r="I898" t="s">
        <v>2004</v>
      </c>
      <c r="J898" t="s">
        <v>26</v>
      </c>
      <c r="K898" t="s">
        <v>50</v>
      </c>
      <c r="L898" t="s">
        <v>5</v>
      </c>
      <c r="M898">
        <v>58.415999999999997</v>
      </c>
      <c r="N898">
        <v>2</v>
      </c>
      <c r="O898">
        <v>0.2</v>
      </c>
      <c r="P898">
        <v>16.794599999999999</v>
      </c>
      <c r="Q898" s="1">
        <v>0.28749999999999998</v>
      </c>
      <c r="R898" t="s">
        <v>4</v>
      </c>
      <c r="S898" t="s">
        <v>408</v>
      </c>
    </row>
    <row r="899" spans="1:19" x14ac:dyDescent="0.3">
      <c r="A899">
        <v>3621</v>
      </c>
      <c r="B899" t="s">
        <v>2005</v>
      </c>
      <c r="C899">
        <v>2016</v>
      </c>
      <c r="D899" t="s">
        <v>428</v>
      </c>
      <c r="E899" t="s">
        <v>13</v>
      </c>
      <c r="F899" t="s">
        <v>269</v>
      </c>
      <c r="G899" t="s">
        <v>77</v>
      </c>
      <c r="H899" t="s">
        <v>9</v>
      </c>
      <c r="I899" t="s">
        <v>1784</v>
      </c>
      <c r="J899" t="s">
        <v>17</v>
      </c>
      <c r="K899" t="s">
        <v>25</v>
      </c>
      <c r="L899" t="s">
        <v>19</v>
      </c>
      <c r="M899">
        <v>40.776000000000003</v>
      </c>
      <c r="N899">
        <v>3</v>
      </c>
      <c r="O899">
        <v>0.2</v>
      </c>
      <c r="P899">
        <v>4.5872999999999999</v>
      </c>
      <c r="Q899" s="1">
        <v>0.1125</v>
      </c>
      <c r="R899" t="s">
        <v>4</v>
      </c>
      <c r="S899" t="s">
        <v>408</v>
      </c>
    </row>
    <row r="900" spans="1:19" x14ac:dyDescent="0.3">
      <c r="A900">
        <v>3632</v>
      </c>
      <c r="B900" t="s">
        <v>2006</v>
      </c>
      <c r="C900">
        <v>2017</v>
      </c>
      <c r="D900" t="s">
        <v>417</v>
      </c>
      <c r="E900" t="s">
        <v>13</v>
      </c>
      <c r="F900" t="s">
        <v>14</v>
      </c>
      <c r="G900" t="s">
        <v>15</v>
      </c>
      <c r="H900" t="s">
        <v>16</v>
      </c>
      <c r="I900" t="s">
        <v>1522</v>
      </c>
      <c r="J900" t="s">
        <v>17</v>
      </c>
      <c r="K900" t="s">
        <v>23</v>
      </c>
      <c r="L900" t="s">
        <v>5</v>
      </c>
      <c r="M900">
        <v>69.52</v>
      </c>
      <c r="N900">
        <v>2</v>
      </c>
      <c r="O900">
        <v>0</v>
      </c>
      <c r="P900">
        <v>19.465599999999998</v>
      </c>
      <c r="Q900" s="1">
        <v>0.28000000000000003</v>
      </c>
      <c r="R900" t="s">
        <v>4</v>
      </c>
      <c r="S900" t="s">
        <v>394</v>
      </c>
    </row>
    <row r="901" spans="1:19" x14ac:dyDescent="0.3">
      <c r="A901">
        <v>3658</v>
      </c>
      <c r="B901" t="s">
        <v>2007</v>
      </c>
      <c r="C901">
        <v>2015</v>
      </c>
      <c r="D901" t="s">
        <v>447</v>
      </c>
      <c r="E901" t="s">
        <v>13</v>
      </c>
      <c r="F901" t="s">
        <v>354</v>
      </c>
      <c r="G901" t="s">
        <v>21</v>
      </c>
      <c r="H901" t="s">
        <v>9</v>
      </c>
      <c r="I901" t="s">
        <v>1795</v>
      </c>
      <c r="J901" t="s">
        <v>17</v>
      </c>
      <c r="K901" t="s">
        <v>51</v>
      </c>
      <c r="L901" t="s">
        <v>19</v>
      </c>
      <c r="M901">
        <v>8.6880000000000006</v>
      </c>
      <c r="N901">
        <v>3</v>
      </c>
      <c r="O901">
        <v>0.2</v>
      </c>
      <c r="P901">
        <v>2.9321999999999999</v>
      </c>
      <c r="Q901" s="1">
        <v>0.33750000000000002</v>
      </c>
      <c r="R901" t="s">
        <v>4</v>
      </c>
      <c r="S901" t="s">
        <v>408</v>
      </c>
    </row>
    <row r="902" spans="1:19" x14ac:dyDescent="0.3">
      <c r="A902">
        <v>3662</v>
      </c>
      <c r="B902" t="s">
        <v>2008</v>
      </c>
      <c r="C902">
        <v>2016</v>
      </c>
      <c r="D902" t="s">
        <v>396</v>
      </c>
      <c r="E902" t="s">
        <v>35</v>
      </c>
      <c r="F902" t="s">
        <v>75</v>
      </c>
      <c r="G902" t="s">
        <v>61</v>
      </c>
      <c r="H902" t="s">
        <v>38</v>
      </c>
      <c r="I902" t="s">
        <v>2009</v>
      </c>
      <c r="J902" t="s">
        <v>26</v>
      </c>
      <c r="K902" t="s">
        <v>27</v>
      </c>
      <c r="L902" t="s">
        <v>5</v>
      </c>
      <c r="M902">
        <v>377.97</v>
      </c>
      <c r="N902">
        <v>3</v>
      </c>
      <c r="O902">
        <v>0</v>
      </c>
      <c r="P902">
        <v>94.492500000000007</v>
      </c>
      <c r="Q902" s="1">
        <v>0.25</v>
      </c>
      <c r="R902" t="s">
        <v>4</v>
      </c>
      <c r="S902" t="s">
        <v>394</v>
      </c>
    </row>
    <row r="903" spans="1:19" x14ac:dyDescent="0.3">
      <c r="A903">
        <v>3677</v>
      </c>
      <c r="B903" t="s">
        <v>2010</v>
      </c>
      <c r="C903">
        <v>2015</v>
      </c>
      <c r="D903" t="s">
        <v>410</v>
      </c>
      <c r="E903" t="s">
        <v>13</v>
      </c>
      <c r="F903" t="s">
        <v>134</v>
      </c>
      <c r="G903" t="s">
        <v>15</v>
      </c>
      <c r="H903" t="s">
        <v>16</v>
      </c>
      <c r="I903" t="s">
        <v>977</v>
      </c>
      <c r="J903" t="s">
        <v>10</v>
      </c>
      <c r="K903" t="s">
        <v>24</v>
      </c>
      <c r="L903" t="s">
        <v>19</v>
      </c>
      <c r="M903">
        <v>44.46</v>
      </c>
      <c r="N903">
        <v>2</v>
      </c>
      <c r="O903">
        <v>0</v>
      </c>
      <c r="P903">
        <v>14.671799999999999</v>
      </c>
      <c r="Q903" s="1">
        <v>0.33</v>
      </c>
      <c r="R903" t="s">
        <v>4</v>
      </c>
      <c r="S903" t="s">
        <v>394</v>
      </c>
    </row>
    <row r="904" spans="1:19" x14ac:dyDescent="0.3">
      <c r="A904">
        <v>3698</v>
      </c>
      <c r="B904" t="s">
        <v>2011</v>
      </c>
      <c r="C904">
        <v>2015</v>
      </c>
      <c r="D904" t="s">
        <v>392</v>
      </c>
      <c r="E904" t="s">
        <v>35</v>
      </c>
      <c r="F904" t="s">
        <v>33</v>
      </c>
      <c r="G904" t="s">
        <v>34</v>
      </c>
      <c r="H904" t="s">
        <v>16</v>
      </c>
      <c r="I904" t="s">
        <v>2012</v>
      </c>
      <c r="J904" t="s">
        <v>10</v>
      </c>
      <c r="K904" t="s">
        <v>24</v>
      </c>
      <c r="L904" t="s">
        <v>5</v>
      </c>
      <c r="M904">
        <v>141.96</v>
      </c>
      <c r="N904">
        <v>2</v>
      </c>
      <c r="O904">
        <v>0</v>
      </c>
      <c r="P904">
        <v>22.7136</v>
      </c>
      <c r="Q904" s="1">
        <v>0.16</v>
      </c>
      <c r="R904" t="s">
        <v>4</v>
      </c>
      <c r="S904" t="s">
        <v>394</v>
      </c>
    </row>
    <row r="905" spans="1:19" x14ac:dyDescent="0.3">
      <c r="A905">
        <v>3723</v>
      </c>
      <c r="B905" t="s">
        <v>2013</v>
      </c>
      <c r="C905">
        <v>2017</v>
      </c>
      <c r="D905" t="s">
        <v>392</v>
      </c>
      <c r="E905" t="s">
        <v>6</v>
      </c>
      <c r="F905" t="s">
        <v>52</v>
      </c>
      <c r="G905" t="s">
        <v>37</v>
      </c>
      <c r="H905" t="s">
        <v>38</v>
      </c>
      <c r="I905" t="s">
        <v>678</v>
      </c>
      <c r="J905" t="s">
        <v>17</v>
      </c>
      <c r="K905" t="s">
        <v>25</v>
      </c>
      <c r="L905" t="s">
        <v>19</v>
      </c>
      <c r="M905">
        <v>35.712000000000003</v>
      </c>
      <c r="N905">
        <v>8</v>
      </c>
      <c r="O905">
        <v>0.2</v>
      </c>
      <c r="P905">
        <v>2.2320000000000002</v>
      </c>
      <c r="Q905" s="1">
        <v>6.25E-2</v>
      </c>
      <c r="R905" t="s">
        <v>4</v>
      </c>
      <c r="S905" t="s">
        <v>408</v>
      </c>
    </row>
    <row r="906" spans="1:19" x14ac:dyDescent="0.3">
      <c r="A906">
        <v>3735</v>
      </c>
      <c r="B906" t="s">
        <v>2014</v>
      </c>
      <c r="C906">
        <v>2017</v>
      </c>
      <c r="D906" t="s">
        <v>447</v>
      </c>
      <c r="E906" t="s">
        <v>6</v>
      </c>
      <c r="F906" t="s">
        <v>66</v>
      </c>
      <c r="G906" t="s">
        <v>67</v>
      </c>
      <c r="H906" t="s">
        <v>48</v>
      </c>
      <c r="I906" t="s">
        <v>2015</v>
      </c>
      <c r="J906" t="s">
        <v>17</v>
      </c>
      <c r="K906" t="s">
        <v>32</v>
      </c>
      <c r="L906" t="s">
        <v>5</v>
      </c>
      <c r="M906">
        <v>26.38</v>
      </c>
      <c r="N906">
        <v>1</v>
      </c>
      <c r="O906">
        <v>0</v>
      </c>
      <c r="P906">
        <v>12.1348</v>
      </c>
      <c r="Q906" s="1">
        <v>0.46</v>
      </c>
      <c r="R906" t="s">
        <v>4</v>
      </c>
      <c r="S906" t="s">
        <v>394</v>
      </c>
    </row>
    <row r="907" spans="1:19" x14ac:dyDescent="0.3">
      <c r="A907">
        <v>3758</v>
      </c>
      <c r="B907" t="s">
        <v>2016</v>
      </c>
      <c r="C907">
        <v>2016</v>
      </c>
      <c r="D907" t="s">
        <v>529</v>
      </c>
      <c r="E907" t="s">
        <v>6</v>
      </c>
      <c r="F907" t="s">
        <v>105</v>
      </c>
      <c r="G907" t="s">
        <v>95</v>
      </c>
      <c r="H907" t="s">
        <v>48</v>
      </c>
      <c r="I907" t="s">
        <v>2017</v>
      </c>
      <c r="J907" t="s">
        <v>17</v>
      </c>
      <c r="K907" t="s">
        <v>25</v>
      </c>
      <c r="L907" t="s">
        <v>19</v>
      </c>
      <c r="M907">
        <v>111.104</v>
      </c>
      <c r="N907">
        <v>7</v>
      </c>
      <c r="O907">
        <v>0.2</v>
      </c>
      <c r="P907">
        <v>8.3328000000000007</v>
      </c>
      <c r="Q907" s="1">
        <v>7.4999999999999997E-2</v>
      </c>
      <c r="R907" t="s">
        <v>4</v>
      </c>
      <c r="S907" t="s">
        <v>408</v>
      </c>
    </row>
    <row r="908" spans="1:19" x14ac:dyDescent="0.3">
      <c r="A908">
        <v>3765</v>
      </c>
      <c r="B908" t="s">
        <v>2018</v>
      </c>
      <c r="C908">
        <v>2017</v>
      </c>
      <c r="D908" t="s">
        <v>529</v>
      </c>
      <c r="E908" t="s">
        <v>6</v>
      </c>
      <c r="F908" t="s">
        <v>70</v>
      </c>
      <c r="G908" t="s">
        <v>56</v>
      </c>
      <c r="H908" t="s">
        <v>38</v>
      </c>
      <c r="I908" t="s">
        <v>2019</v>
      </c>
      <c r="J908" t="s">
        <v>17</v>
      </c>
      <c r="K908" t="s">
        <v>28</v>
      </c>
      <c r="L908" t="s">
        <v>19</v>
      </c>
      <c r="M908">
        <v>1.788</v>
      </c>
      <c r="N908">
        <v>3</v>
      </c>
      <c r="O908">
        <v>0.8</v>
      </c>
      <c r="P908">
        <v>-3.0396000000000001</v>
      </c>
      <c r="Q908" s="1">
        <v>-1.7</v>
      </c>
      <c r="R908" t="s">
        <v>401</v>
      </c>
      <c r="S908" t="s">
        <v>402</v>
      </c>
    </row>
    <row r="909" spans="1:19" x14ac:dyDescent="0.3">
      <c r="A909">
        <v>3771</v>
      </c>
      <c r="B909" t="s">
        <v>2020</v>
      </c>
      <c r="C909">
        <v>2016</v>
      </c>
      <c r="D909" t="s">
        <v>410</v>
      </c>
      <c r="E909" t="s">
        <v>6</v>
      </c>
      <c r="F909" t="s">
        <v>43</v>
      </c>
      <c r="G909" t="s">
        <v>15</v>
      </c>
      <c r="H909" t="s">
        <v>16</v>
      </c>
      <c r="I909" t="s">
        <v>2021</v>
      </c>
      <c r="J909" t="s">
        <v>10</v>
      </c>
      <c r="K909" t="s">
        <v>22</v>
      </c>
      <c r="L909" t="s">
        <v>19</v>
      </c>
      <c r="M909">
        <v>2003.52</v>
      </c>
      <c r="N909">
        <v>6</v>
      </c>
      <c r="O909">
        <v>0.2</v>
      </c>
      <c r="P909">
        <v>-325.572</v>
      </c>
      <c r="Q909" s="1">
        <v>-0.16250000000000001</v>
      </c>
      <c r="R909" t="s">
        <v>401</v>
      </c>
      <c r="S909" t="s">
        <v>408</v>
      </c>
    </row>
    <row r="910" spans="1:19" x14ac:dyDescent="0.3">
      <c r="A910">
        <v>3773</v>
      </c>
      <c r="B910" t="s">
        <v>2022</v>
      </c>
      <c r="C910">
        <v>2014</v>
      </c>
      <c r="D910" t="s">
        <v>420</v>
      </c>
      <c r="E910" t="s">
        <v>6</v>
      </c>
      <c r="F910" t="s">
        <v>81</v>
      </c>
      <c r="G910" t="s">
        <v>82</v>
      </c>
      <c r="H910" t="s">
        <v>9</v>
      </c>
      <c r="I910" t="s">
        <v>2023</v>
      </c>
      <c r="J910" t="s">
        <v>26</v>
      </c>
      <c r="K910" t="s">
        <v>50</v>
      </c>
      <c r="L910" t="s">
        <v>5</v>
      </c>
      <c r="M910">
        <v>62.91</v>
      </c>
      <c r="N910">
        <v>3</v>
      </c>
      <c r="O910">
        <v>0</v>
      </c>
      <c r="P910">
        <v>22.647600000000001</v>
      </c>
      <c r="Q910" s="1">
        <v>0.36</v>
      </c>
      <c r="R910" t="s">
        <v>4</v>
      </c>
      <c r="S910" t="s">
        <v>394</v>
      </c>
    </row>
    <row r="911" spans="1:19" x14ac:dyDescent="0.3">
      <c r="A911">
        <v>3774</v>
      </c>
      <c r="B911" t="s">
        <v>2024</v>
      </c>
      <c r="C911">
        <v>2014</v>
      </c>
      <c r="D911" t="s">
        <v>406</v>
      </c>
      <c r="E911" t="s">
        <v>6</v>
      </c>
      <c r="F911" t="s">
        <v>170</v>
      </c>
      <c r="G911" t="s">
        <v>21</v>
      </c>
      <c r="H911" t="s">
        <v>9</v>
      </c>
      <c r="I911" t="s">
        <v>2025</v>
      </c>
      <c r="J911" t="s">
        <v>17</v>
      </c>
      <c r="K911" t="s">
        <v>68</v>
      </c>
      <c r="L911" t="s">
        <v>5</v>
      </c>
      <c r="M911">
        <v>6.9119999999999999</v>
      </c>
      <c r="N911">
        <v>3</v>
      </c>
      <c r="O911">
        <v>0.2</v>
      </c>
      <c r="P911">
        <v>2.3328000000000002</v>
      </c>
      <c r="Q911" s="1">
        <v>0.33750000000000002</v>
      </c>
      <c r="R911" t="s">
        <v>4</v>
      </c>
      <c r="S911" t="s">
        <v>408</v>
      </c>
    </row>
    <row r="912" spans="1:19" x14ac:dyDescent="0.3">
      <c r="A912">
        <v>3778</v>
      </c>
      <c r="B912" t="s">
        <v>2026</v>
      </c>
      <c r="C912">
        <v>2015</v>
      </c>
      <c r="D912" t="s">
        <v>417</v>
      </c>
      <c r="E912" t="s">
        <v>35</v>
      </c>
      <c r="F912" t="s">
        <v>355</v>
      </c>
      <c r="G912" t="s">
        <v>15</v>
      </c>
      <c r="H912" t="s">
        <v>16</v>
      </c>
      <c r="I912" t="s">
        <v>1708</v>
      </c>
      <c r="J912" t="s">
        <v>10</v>
      </c>
      <c r="K912" t="s">
        <v>24</v>
      </c>
      <c r="L912" t="s">
        <v>19</v>
      </c>
      <c r="M912">
        <v>665.88</v>
      </c>
      <c r="N912">
        <v>6</v>
      </c>
      <c r="O912">
        <v>0</v>
      </c>
      <c r="P912">
        <v>106.5408</v>
      </c>
      <c r="Q912" s="1">
        <v>0.16</v>
      </c>
      <c r="R912" t="s">
        <v>4</v>
      </c>
      <c r="S912" t="s">
        <v>394</v>
      </c>
    </row>
    <row r="913" spans="1:19" x14ac:dyDescent="0.3">
      <c r="A913">
        <v>3780</v>
      </c>
      <c r="B913" t="s">
        <v>2027</v>
      </c>
      <c r="C913">
        <v>2017</v>
      </c>
      <c r="D913" t="s">
        <v>529</v>
      </c>
      <c r="E913" t="s">
        <v>6</v>
      </c>
      <c r="F913" t="s">
        <v>66</v>
      </c>
      <c r="G913" t="s">
        <v>67</v>
      </c>
      <c r="H913" t="s">
        <v>48</v>
      </c>
      <c r="I913" t="s">
        <v>2028</v>
      </c>
      <c r="J913" t="s">
        <v>17</v>
      </c>
      <c r="K913" t="s">
        <v>32</v>
      </c>
      <c r="L913" t="s">
        <v>19</v>
      </c>
      <c r="M913">
        <v>37.94</v>
      </c>
      <c r="N913">
        <v>2</v>
      </c>
      <c r="O913">
        <v>0</v>
      </c>
      <c r="P913">
        <v>18.211200000000002</v>
      </c>
      <c r="Q913" s="1">
        <v>0.48</v>
      </c>
      <c r="R913" t="s">
        <v>4</v>
      </c>
      <c r="S913" t="s">
        <v>394</v>
      </c>
    </row>
    <row r="914" spans="1:19" x14ac:dyDescent="0.3">
      <c r="A914">
        <v>3781</v>
      </c>
      <c r="B914" t="s">
        <v>2029</v>
      </c>
      <c r="C914">
        <v>2014</v>
      </c>
      <c r="D914" t="s">
        <v>392</v>
      </c>
      <c r="E914" t="s">
        <v>35</v>
      </c>
      <c r="F914" t="s">
        <v>356</v>
      </c>
      <c r="G914" t="s">
        <v>294</v>
      </c>
      <c r="H914" t="s">
        <v>38</v>
      </c>
      <c r="I914" t="s">
        <v>2030</v>
      </c>
      <c r="J914" t="s">
        <v>26</v>
      </c>
      <c r="K914" t="s">
        <v>27</v>
      </c>
      <c r="L914" t="s">
        <v>19</v>
      </c>
      <c r="M914">
        <v>273.95999999999998</v>
      </c>
      <c r="N914">
        <v>2</v>
      </c>
      <c r="O914">
        <v>0</v>
      </c>
      <c r="P914">
        <v>10.958399999999999</v>
      </c>
      <c r="Q914" s="1">
        <v>0.04</v>
      </c>
      <c r="R914" t="s">
        <v>4</v>
      </c>
      <c r="S914" t="s">
        <v>394</v>
      </c>
    </row>
    <row r="915" spans="1:19" x14ac:dyDescent="0.3">
      <c r="A915">
        <v>3788</v>
      </c>
      <c r="B915" t="s">
        <v>2031</v>
      </c>
      <c r="C915">
        <v>2016</v>
      </c>
      <c r="D915" t="s">
        <v>428</v>
      </c>
      <c r="E915" t="s">
        <v>6</v>
      </c>
      <c r="F915" t="s">
        <v>52</v>
      </c>
      <c r="G915" t="s">
        <v>37</v>
      </c>
      <c r="H915" t="s">
        <v>38</v>
      </c>
      <c r="I915" t="s">
        <v>2032</v>
      </c>
      <c r="J915" t="s">
        <v>17</v>
      </c>
      <c r="K915" t="s">
        <v>25</v>
      </c>
      <c r="L915" t="s">
        <v>19</v>
      </c>
      <c r="M915">
        <v>3.9119999999999999</v>
      </c>
      <c r="N915">
        <v>1</v>
      </c>
      <c r="O915">
        <v>0.2</v>
      </c>
      <c r="P915">
        <v>1.0268999999999999</v>
      </c>
      <c r="Q915" s="1">
        <v>0.26250000000000001</v>
      </c>
      <c r="R915" t="s">
        <v>4</v>
      </c>
      <c r="S915" t="s">
        <v>408</v>
      </c>
    </row>
    <row r="916" spans="1:19" x14ac:dyDescent="0.3">
      <c r="A916">
        <v>3792</v>
      </c>
      <c r="B916" t="s">
        <v>2033</v>
      </c>
      <c r="C916">
        <v>2015</v>
      </c>
      <c r="D916" t="s">
        <v>529</v>
      </c>
      <c r="E916" t="s">
        <v>13</v>
      </c>
      <c r="F916" t="s">
        <v>357</v>
      </c>
      <c r="G916" t="s">
        <v>47</v>
      </c>
      <c r="H916" t="s">
        <v>48</v>
      </c>
      <c r="I916" t="s">
        <v>586</v>
      </c>
      <c r="J916" t="s">
        <v>17</v>
      </c>
      <c r="K916" t="s">
        <v>28</v>
      </c>
      <c r="L916" t="s">
        <v>53</v>
      </c>
      <c r="M916">
        <v>4.4189999999999996</v>
      </c>
      <c r="N916">
        <v>3</v>
      </c>
      <c r="O916">
        <v>0.7</v>
      </c>
      <c r="P916">
        <v>-3.3879000000000001</v>
      </c>
      <c r="Q916" s="1">
        <v>-0.76666666666666705</v>
      </c>
      <c r="R916" t="s">
        <v>401</v>
      </c>
      <c r="S916" t="s">
        <v>402</v>
      </c>
    </row>
    <row r="917" spans="1:19" x14ac:dyDescent="0.3">
      <c r="A917">
        <v>3795</v>
      </c>
      <c r="B917" t="s">
        <v>2034</v>
      </c>
      <c r="C917">
        <v>2014</v>
      </c>
      <c r="D917" t="s">
        <v>430</v>
      </c>
      <c r="E917" t="s">
        <v>6</v>
      </c>
      <c r="F917" t="s">
        <v>134</v>
      </c>
      <c r="G917" t="s">
        <v>15</v>
      </c>
      <c r="H917" t="s">
        <v>16</v>
      </c>
      <c r="I917" t="s">
        <v>1904</v>
      </c>
      <c r="J917" t="s">
        <v>17</v>
      </c>
      <c r="K917" t="s">
        <v>23</v>
      </c>
      <c r="L917" t="s">
        <v>19</v>
      </c>
      <c r="M917">
        <v>57.23</v>
      </c>
      <c r="N917">
        <v>1</v>
      </c>
      <c r="O917">
        <v>0</v>
      </c>
      <c r="P917">
        <v>14.307499999999999</v>
      </c>
      <c r="Q917" s="1">
        <v>0.25</v>
      </c>
      <c r="R917" t="s">
        <v>4</v>
      </c>
      <c r="S917" t="s">
        <v>394</v>
      </c>
    </row>
    <row r="918" spans="1:19" x14ac:dyDescent="0.3">
      <c r="A918">
        <v>3813</v>
      </c>
      <c r="B918" t="s">
        <v>2035</v>
      </c>
      <c r="C918">
        <v>2017</v>
      </c>
      <c r="D918" t="s">
        <v>447</v>
      </c>
      <c r="E918" t="s">
        <v>6</v>
      </c>
      <c r="F918" t="s">
        <v>225</v>
      </c>
      <c r="G918" t="s">
        <v>40</v>
      </c>
      <c r="H918" t="s">
        <v>38</v>
      </c>
      <c r="I918" t="s">
        <v>2036</v>
      </c>
      <c r="J918" t="s">
        <v>17</v>
      </c>
      <c r="K918" t="s">
        <v>18</v>
      </c>
      <c r="L918" t="s">
        <v>158</v>
      </c>
      <c r="M918">
        <v>25.06</v>
      </c>
      <c r="N918">
        <v>2</v>
      </c>
      <c r="O918">
        <v>0</v>
      </c>
      <c r="P918">
        <v>11.7782</v>
      </c>
      <c r="Q918" s="1">
        <v>0.47</v>
      </c>
      <c r="R918" t="s">
        <v>4</v>
      </c>
      <c r="S918" t="s">
        <v>394</v>
      </c>
    </row>
    <row r="919" spans="1:19" x14ac:dyDescent="0.3">
      <c r="A919">
        <v>3828</v>
      </c>
      <c r="B919" t="s">
        <v>2037</v>
      </c>
      <c r="C919">
        <v>2017</v>
      </c>
      <c r="D919" t="s">
        <v>417</v>
      </c>
      <c r="E919" t="s">
        <v>13</v>
      </c>
      <c r="F919" t="s">
        <v>130</v>
      </c>
      <c r="G919" t="s">
        <v>61</v>
      </c>
      <c r="H919" t="s">
        <v>38</v>
      </c>
      <c r="I919" t="s">
        <v>1108</v>
      </c>
      <c r="J919" t="s">
        <v>10</v>
      </c>
      <c r="K919" t="s">
        <v>12</v>
      </c>
      <c r="L919" t="s">
        <v>19</v>
      </c>
      <c r="M919">
        <v>1458.65</v>
      </c>
      <c r="N919">
        <v>5</v>
      </c>
      <c r="O919">
        <v>0</v>
      </c>
      <c r="P919">
        <v>423.00850000000003</v>
      </c>
      <c r="Q919" s="1">
        <v>0.28999999999999998</v>
      </c>
      <c r="R919" t="s">
        <v>4</v>
      </c>
      <c r="S919" t="s">
        <v>394</v>
      </c>
    </row>
    <row r="920" spans="1:19" x14ac:dyDescent="0.3">
      <c r="A920">
        <v>3836</v>
      </c>
      <c r="B920" t="s">
        <v>2038</v>
      </c>
      <c r="C920">
        <v>2014</v>
      </c>
      <c r="D920" t="s">
        <v>406</v>
      </c>
      <c r="E920" t="s">
        <v>13</v>
      </c>
      <c r="F920" t="s">
        <v>272</v>
      </c>
      <c r="G920" t="s">
        <v>72</v>
      </c>
      <c r="H920" t="s">
        <v>16</v>
      </c>
      <c r="I920" t="s">
        <v>2039</v>
      </c>
      <c r="J920" t="s">
        <v>17</v>
      </c>
      <c r="K920" t="s">
        <v>68</v>
      </c>
      <c r="L920" t="s">
        <v>19</v>
      </c>
      <c r="M920">
        <v>2.3679999999999999</v>
      </c>
      <c r="N920">
        <v>2</v>
      </c>
      <c r="O920">
        <v>0.2</v>
      </c>
      <c r="P920">
        <v>0.82879999999999998</v>
      </c>
      <c r="Q920" s="1">
        <v>0.35</v>
      </c>
      <c r="R920" t="s">
        <v>4</v>
      </c>
      <c r="S920" t="s">
        <v>408</v>
      </c>
    </row>
    <row r="921" spans="1:19" x14ac:dyDescent="0.3">
      <c r="A921">
        <v>3843</v>
      </c>
      <c r="B921" t="s">
        <v>2040</v>
      </c>
      <c r="C921">
        <v>2014</v>
      </c>
      <c r="D921" t="s">
        <v>399</v>
      </c>
      <c r="E921" t="s">
        <v>13</v>
      </c>
      <c r="F921" t="s">
        <v>14</v>
      </c>
      <c r="G921" t="s">
        <v>15</v>
      </c>
      <c r="H921" t="s">
        <v>16</v>
      </c>
      <c r="I921" t="s">
        <v>2041</v>
      </c>
      <c r="J921" t="s">
        <v>17</v>
      </c>
      <c r="K921" t="s">
        <v>28</v>
      </c>
      <c r="L921" t="s">
        <v>53</v>
      </c>
      <c r="M921">
        <v>7.1840000000000002</v>
      </c>
      <c r="N921">
        <v>2</v>
      </c>
      <c r="O921">
        <v>0.2</v>
      </c>
      <c r="P921">
        <v>2.2450000000000001</v>
      </c>
      <c r="Q921" s="1">
        <v>0.3125</v>
      </c>
      <c r="R921" t="s">
        <v>4</v>
      </c>
      <c r="S921" t="s">
        <v>408</v>
      </c>
    </row>
    <row r="922" spans="1:19" x14ac:dyDescent="0.3">
      <c r="A922">
        <v>3848</v>
      </c>
      <c r="B922" t="s">
        <v>2042</v>
      </c>
      <c r="C922">
        <v>2017</v>
      </c>
      <c r="D922" t="s">
        <v>392</v>
      </c>
      <c r="E922" t="s">
        <v>35</v>
      </c>
      <c r="F922" t="s">
        <v>176</v>
      </c>
      <c r="G922" t="s">
        <v>61</v>
      </c>
      <c r="H922" t="s">
        <v>38</v>
      </c>
      <c r="I922" t="s">
        <v>2043</v>
      </c>
      <c r="J922" t="s">
        <v>17</v>
      </c>
      <c r="K922" t="s">
        <v>23</v>
      </c>
      <c r="L922" t="s">
        <v>5</v>
      </c>
      <c r="M922">
        <v>501.81</v>
      </c>
      <c r="N922">
        <v>3</v>
      </c>
      <c r="O922">
        <v>0</v>
      </c>
      <c r="P922">
        <v>0</v>
      </c>
      <c r="Q922" s="1">
        <v>0</v>
      </c>
      <c r="R922" t="s">
        <v>4</v>
      </c>
      <c r="S922" t="s">
        <v>394</v>
      </c>
    </row>
    <row r="923" spans="1:19" x14ac:dyDescent="0.3">
      <c r="A923">
        <v>3854</v>
      </c>
      <c r="B923" t="s">
        <v>2044</v>
      </c>
      <c r="C923">
        <v>2017</v>
      </c>
      <c r="D923" t="s">
        <v>396</v>
      </c>
      <c r="E923" t="s">
        <v>35</v>
      </c>
      <c r="F923" t="s">
        <v>43</v>
      </c>
      <c r="G923" t="s">
        <v>15</v>
      </c>
      <c r="H923" t="s">
        <v>16</v>
      </c>
      <c r="I923" t="s">
        <v>2045</v>
      </c>
      <c r="J923" t="s">
        <v>10</v>
      </c>
      <c r="K923" t="s">
        <v>24</v>
      </c>
      <c r="L923" t="s">
        <v>19</v>
      </c>
      <c r="M923">
        <v>4.95</v>
      </c>
      <c r="N923">
        <v>1</v>
      </c>
      <c r="O923">
        <v>0</v>
      </c>
      <c r="P923">
        <v>2.1779999999999999</v>
      </c>
      <c r="Q923" s="1">
        <v>0.44</v>
      </c>
      <c r="R923" t="s">
        <v>4</v>
      </c>
      <c r="S923" t="s">
        <v>394</v>
      </c>
    </row>
    <row r="924" spans="1:19" x14ac:dyDescent="0.3">
      <c r="A924">
        <v>3860</v>
      </c>
      <c r="B924" t="s">
        <v>2046</v>
      </c>
      <c r="C924">
        <v>2017</v>
      </c>
      <c r="D924" t="s">
        <v>529</v>
      </c>
      <c r="E924" t="s">
        <v>35</v>
      </c>
      <c r="F924" t="s">
        <v>70</v>
      </c>
      <c r="G924" t="s">
        <v>56</v>
      </c>
      <c r="H924" t="s">
        <v>38</v>
      </c>
      <c r="I924" t="s">
        <v>2047</v>
      </c>
      <c r="J924" t="s">
        <v>10</v>
      </c>
      <c r="K924" t="s">
        <v>22</v>
      </c>
      <c r="L924" t="s">
        <v>19</v>
      </c>
      <c r="M924">
        <v>480.96</v>
      </c>
      <c r="N924">
        <v>3</v>
      </c>
      <c r="O924">
        <v>0.5</v>
      </c>
      <c r="P924">
        <v>-269.33760000000001</v>
      </c>
      <c r="Q924" s="1">
        <v>-0.56000000000000005</v>
      </c>
      <c r="R924" t="s">
        <v>401</v>
      </c>
      <c r="S924" t="s">
        <v>402</v>
      </c>
    </row>
    <row r="925" spans="1:19" x14ac:dyDescent="0.3">
      <c r="A925">
        <v>3866</v>
      </c>
      <c r="B925" t="s">
        <v>2048</v>
      </c>
      <c r="C925">
        <v>2014</v>
      </c>
      <c r="D925" t="s">
        <v>425</v>
      </c>
      <c r="E925" t="s">
        <v>6</v>
      </c>
      <c r="F925" t="s">
        <v>43</v>
      </c>
      <c r="G925" t="s">
        <v>15</v>
      </c>
      <c r="H925" t="s">
        <v>16</v>
      </c>
      <c r="I925" t="s">
        <v>2049</v>
      </c>
      <c r="J925" t="s">
        <v>26</v>
      </c>
      <c r="K925" t="s">
        <v>50</v>
      </c>
      <c r="L925" t="s">
        <v>5</v>
      </c>
      <c r="M925">
        <v>238</v>
      </c>
      <c r="N925">
        <v>2</v>
      </c>
      <c r="O925">
        <v>0</v>
      </c>
      <c r="P925">
        <v>38.08</v>
      </c>
      <c r="Q925" s="1">
        <v>0.16</v>
      </c>
      <c r="R925" t="s">
        <v>4</v>
      </c>
      <c r="S925" t="s">
        <v>394</v>
      </c>
    </row>
    <row r="926" spans="1:19" x14ac:dyDescent="0.3">
      <c r="A926">
        <v>3868</v>
      </c>
      <c r="B926" t="s">
        <v>2050</v>
      </c>
      <c r="C926">
        <v>2015</v>
      </c>
      <c r="D926" t="s">
        <v>399</v>
      </c>
      <c r="E926" t="s">
        <v>6</v>
      </c>
      <c r="F926" t="s">
        <v>134</v>
      </c>
      <c r="G926" t="s">
        <v>15</v>
      </c>
      <c r="H926" t="s">
        <v>16</v>
      </c>
      <c r="I926" t="s">
        <v>1011</v>
      </c>
      <c r="J926" t="s">
        <v>26</v>
      </c>
      <c r="K926" t="s">
        <v>50</v>
      </c>
      <c r="L926" t="s">
        <v>5</v>
      </c>
      <c r="M926">
        <v>148.32</v>
      </c>
      <c r="N926">
        <v>9</v>
      </c>
      <c r="O926">
        <v>0</v>
      </c>
      <c r="P926">
        <v>63.7776</v>
      </c>
      <c r="Q926" s="1">
        <v>0.43</v>
      </c>
      <c r="R926" t="s">
        <v>4</v>
      </c>
      <c r="S926" t="s">
        <v>394</v>
      </c>
    </row>
    <row r="927" spans="1:19" x14ac:dyDescent="0.3">
      <c r="A927">
        <v>3881</v>
      </c>
      <c r="B927" t="s">
        <v>2051</v>
      </c>
      <c r="C927">
        <v>2015</v>
      </c>
      <c r="D927" t="s">
        <v>396</v>
      </c>
      <c r="E927" t="s">
        <v>6</v>
      </c>
      <c r="F927" t="s">
        <v>71</v>
      </c>
      <c r="G927" t="s">
        <v>72</v>
      </c>
      <c r="H927" t="s">
        <v>16</v>
      </c>
      <c r="I927" t="s">
        <v>2052</v>
      </c>
      <c r="J927" t="s">
        <v>17</v>
      </c>
      <c r="K927" t="s">
        <v>32</v>
      </c>
      <c r="L927" t="s">
        <v>19</v>
      </c>
      <c r="M927">
        <v>9.5679999999999996</v>
      </c>
      <c r="N927">
        <v>2</v>
      </c>
      <c r="O927">
        <v>0.2</v>
      </c>
      <c r="P927">
        <v>2.99</v>
      </c>
      <c r="Q927" s="1">
        <v>0.3125</v>
      </c>
      <c r="R927" t="s">
        <v>4</v>
      </c>
      <c r="S927" t="s">
        <v>408</v>
      </c>
    </row>
    <row r="928" spans="1:19" x14ac:dyDescent="0.3">
      <c r="A928">
        <v>3886</v>
      </c>
      <c r="B928" t="s">
        <v>2053</v>
      </c>
      <c r="C928">
        <v>2017</v>
      </c>
      <c r="D928" t="s">
        <v>430</v>
      </c>
      <c r="E928" t="s">
        <v>6</v>
      </c>
      <c r="F928" t="s">
        <v>70</v>
      </c>
      <c r="G928" t="s">
        <v>56</v>
      </c>
      <c r="H928" t="s">
        <v>38</v>
      </c>
      <c r="I928" t="s">
        <v>2054</v>
      </c>
      <c r="J928" t="s">
        <v>17</v>
      </c>
      <c r="K928" t="s">
        <v>28</v>
      </c>
      <c r="L928" t="s">
        <v>19</v>
      </c>
      <c r="M928">
        <v>12.128</v>
      </c>
      <c r="N928">
        <v>4</v>
      </c>
      <c r="O928">
        <v>0.8</v>
      </c>
      <c r="P928">
        <v>-20.617599999999999</v>
      </c>
      <c r="Q928" s="1">
        <v>-1.7</v>
      </c>
      <c r="R928" t="s">
        <v>401</v>
      </c>
      <c r="S928" t="s">
        <v>402</v>
      </c>
    </row>
    <row r="929" spans="1:19" x14ac:dyDescent="0.3">
      <c r="A929">
        <v>3896</v>
      </c>
      <c r="B929" t="s">
        <v>2055</v>
      </c>
      <c r="C929">
        <v>2017</v>
      </c>
      <c r="D929" t="s">
        <v>417</v>
      </c>
      <c r="E929" t="s">
        <v>35</v>
      </c>
      <c r="F929" t="s">
        <v>358</v>
      </c>
      <c r="G929" t="s">
        <v>186</v>
      </c>
      <c r="H929" t="s">
        <v>9</v>
      </c>
      <c r="I929" t="s">
        <v>2056</v>
      </c>
      <c r="J929" t="s">
        <v>26</v>
      </c>
      <c r="K929" t="s">
        <v>50</v>
      </c>
      <c r="L929" t="s">
        <v>19</v>
      </c>
      <c r="M929">
        <v>48.9</v>
      </c>
      <c r="N929">
        <v>5</v>
      </c>
      <c r="O929">
        <v>0</v>
      </c>
      <c r="P929">
        <v>18.093</v>
      </c>
      <c r="Q929" s="1">
        <v>0.37</v>
      </c>
      <c r="R929" t="s">
        <v>4</v>
      </c>
      <c r="S929" t="s">
        <v>394</v>
      </c>
    </row>
    <row r="930" spans="1:19" x14ac:dyDescent="0.3">
      <c r="A930">
        <v>3901</v>
      </c>
      <c r="B930" t="s">
        <v>2057</v>
      </c>
      <c r="C930">
        <v>2015</v>
      </c>
      <c r="D930" t="s">
        <v>430</v>
      </c>
      <c r="E930" t="s">
        <v>13</v>
      </c>
      <c r="F930" t="s">
        <v>359</v>
      </c>
      <c r="G930" t="s">
        <v>37</v>
      </c>
      <c r="H930" t="s">
        <v>38</v>
      </c>
      <c r="I930" t="s">
        <v>1215</v>
      </c>
      <c r="J930" t="s">
        <v>17</v>
      </c>
      <c r="K930" t="s">
        <v>32</v>
      </c>
      <c r="L930" t="s">
        <v>19</v>
      </c>
      <c r="M930">
        <v>10.368</v>
      </c>
      <c r="N930">
        <v>2</v>
      </c>
      <c r="O930">
        <v>0.2</v>
      </c>
      <c r="P930">
        <v>3.6288</v>
      </c>
      <c r="Q930" s="1">
        <v>0.35</v>
      </c>
      <c r="R930" t="s">
        <v>4</v>
      </c>
      <c r="S930" t="s">
        <v>408</v>
      </c>
    </row>
    <row r="931" spans="1:19" x14ac:dyDescent="0.3">
      <c r="A931">
        <v>3912</v>
      </c>
      <c r="B931" t="s">
        <v>2058</v>
      </c>
      <c r="C931">
        <v>2017</v>
      </c>
      <c r="D931" t="s">
        <v>396</v>
      </c>
      <c r="E931" t="s">
        <v>6</v>
      </c>
      <c r="F931" t="s">
        <v>350</v>
      </c>
      <c r="G931" t="s">
        <v>37</v>
      </c>
      <c r="H931" t="s">
        <v>38</v>
      </c>
      <c r="I931" t="s">
        <v>2059</v>
      </c>
      <c r="J931" t="s">
        <v>26</v>
      </c>
      <c r="K931" t="s">
        <v>27</v>
      </c>
      <c r="L931" t="s">
        <v>53</v>
      </c>
      <c r="M931">
        <v>470.37599999999998</v>
      </c>
      <c r="N931">
        <v>3</v>
      </c>
      <c r="O931">
        <v>0.2</v>
      </c>
      <c r="P931">
        <v>52.917299999999997</v>
      </c>
      <c r="Q931" s="1">
        <v>0.1125</v>
      </c>
      <c r="R931" t="s">
        <v>4</v>
      </c>
      <c r="S931" t="s">
        <v>408</v>
      </c>
    </row>
    <row r="932" spans="1:19" x14ac:dyDescent="0.3">
      <c r="A932">
        <v>3915</v>
      </c>
      <c r="B932" t="s">
        <v>2060</v>
      </c>
      <c r="C932">
        <v>2017</v>
      </c>
      <c r="D932" t="s">
        <v>425</v>
      </c>
      <c r="E932" t="s">
        <v>6</v>
      </c>
      <c r="F932" t="s">
        <v>99</v>
      </c>
      <c r="G932" t="s">
        <v>72</v>
      </c>
      <c r="H932" t="s">
        <v>16</v>
      </c>
      <c r="I932" t="s">
        <v>2047</v>
      </c>
      <c r="J932" t="s">
        <v>10</v>
      </c>
      <c r="K932" t="s">
        <v>22</v>
      </c>
      <c r="L932" t="s">
        <v>19</v>
      </c>
      <c r="M932">
        <v>801.6</v>
      </c>
      <c r="N932">
        <v>5</v>
      </c>
      <c r="O932">
        <v>0.5</v>
      </c>
      <c r="P932">
        <v>-448.89600000000002</v>
      </c>
      <c r="Q932" s="1">
        <v>-0.56000000000000005</v>
      </c>
      <c r="R932" t="s">
        <v>401</v>
      </c>
      <c r="S932" t="s">
        <v>402</v>
      </c>
    </row>
    <row r="933" spans="1:19" x14ac:dyDescent="0.3">
      <c r="A933">
        <v>3922</v>
      </c>
      <c r="B933" t="s">
        <v>2061</v>
      </c>
      <c r="C933">
        <v>2016</v>
      </c>
      <c r="D933" t="s">
        <v>396</v>
      </c>
      <c r="E933" t="s">
        <v>6</v>
      </c>
      <c r="F933" t="s">
        <v>70</v>
      </c>
      <c r="G933" t="s">
        <v>56</v>
      </c>
      <c r="H933" t="s">
        <v>38</v>
      </c>
      <c r="I933" t="s">
        <v>2062</v>
      </c>
      <c r="J933" t="s">
        <v>26</v>
      </c>
      <c r="K933" t="s">
        <v>27</v>
      </c>
      <c r="L933" t="s">
        <v>5</v>
      </c>
      <c r="M933">
        <v>359.976</v>
      </c>
      <c r="N933">
        <v>3</v>
      </c>
      <c r="O933">
        <v>0.2</v>
      </c>
      <c r="P933">
        <v>35.997599999999998</v>
      </c>
      <c r="Q933" s="1">
        <v>0.1</v>
      </c>
      <c r="R933" t="s">
        <v>4</v>
      </c>
      <c r="S933" t="s">
        <v>408</v>
      </c>
    </row>
    <row r="934" spans="1:19" x14ac:dyDescent="0.3">
      <c r="A934">
        <v>3969</v>
      </c>
      <c r="B934" t="s">
        <v>2063</v>
      </c>
      <c r="C934">
        <v>2015</v>
      </c>
      <c r="D934" t="s">
        <v>396</v>
      </c>
      <c r="E934" t="s">
        <v>13</v>
      </c>
      <c r="F934" t="s">
        <v>113</v>
      </c>
      <c r="G934" t="s">
        <v>37</v>
      </c>
      <c r="H934" t="s">
        <v>38</v>
      </c>
      <c r="I934" t="s">
        <v>574</v>
      </c>
      <c r="J934" t="s">
        <v>17</v>
      </c>
      <c r="K934" t="s">
        <v>28</v>
      </c>
      <c r="L934" t="s">
        <v>19</v>
      </c>
      <c r="M934">
        <v>5.7279999999999998</v>
      </c>
      <c r="N934">
        <v>8</v>
      </c>
      <c r="O934">
        <v>0.8</v>
      </c>
      <c r="P934">
        <v>-9.1647999999999996</v>
      </c>
      <c r="Q934" s="1">
        <v>-1.6</v>
      </c>
      <c r="R934" t="s">
        <v>401</v>
      </c>
      <c r="S934" t="s">
        <v>402</v>
      </c>
    </row>
    <row r="935" spans="1:19" x14ac:dyDescent="0.3">
      <c r="A935">
        <v>3972</v>
      </c>
      <c r="B935" t="s">
        <v>2064</v>
      </c>
      <c r="C935">
        <v>2015</v>
      </c>
      <c r="D935" t="s">
        <v>529</v>
      </c>
      <c r="E935" t="s">
        <v>35</v>
      </c>
      <c r="F935" t="s">
        <v>341</v>
      </c>
      <c r="G935" t="s">
        <v>61</v>
      </c>
      <c r="H935" t="s">
        <v>38</v>
      </c>
      <c r="I935" t="s">
        <v>2017</v>
      </c>
      <c r="J935" t="s">
        <v>17</v>
      </c>
      <c r="K935" t="s">
        <v>25</v>
      </c>
      <c r="L935" t="s">
        <v>5</v>
      </c>
      <c r="M935">
        <v>79.36</v>
      </c>
      <c r="N935">
        <v>4</v>
      </c>
      <c r="O935">
        <v>0</v>
      </c>
      <c r="P935">
        <v>20.633600000000001</v>
      </c>
      <c r="Q935" s="1">
        <v>0.26</v>
      </c>
      <c r="R935" t="s">
        <v>4</v>
      </c>
      <c r="S935" t="s">
        <v>394</v>
      </c>
    </row>
    <row r="936" spans="1:19" x14ac:dyDescent="0.3">
      <c r="A936">
        <v>3982</v>
      </c>
      <c r="B936" t="s">
        <v>2065</v>
      </c>
      <c r="C936">
        <v>2017</v>
      </c>
      <c r="D936" t="s">
        <v>410</v>
      </c>
      <c r="E936" t="s">
        <v>35</v>
      </c>
      <c r="F936" t="s">
        <v>33</v>
      </c>
      <c r="G936" t="s">
        <v>34</v>
      </c>
      <c r="H936" t="s">
        <v>16</v>
      </c>
      <c r="I936" t="s">
        <v>2066</v>
      </c>
      <c r="J936" t="s">
        <v>10</v>
      </c>
      <c r="K936" t="s">
        <v>24</v>
      </c>
      <c r="L936" t="s">
        <v>19</v>
      </c>
      <c r="M936">
        <v>22.77</v>
      </c>
      <c r="N936">
        <v>3</v>
      </c>
      <c r="O936">
        <v>0</v>
      </c>
      <c r="P936">
        <v>9.7911000000000001</v>
      </c>
      <c r="Q936" s="1">
        <v>0.43</v>
      </c>
      <c r="R936" t="s">
        <v>4</v>
      </c>
      <c r="S936" t="s">
        <v>394</v>
      </c>
    </row>
    <row r="937" spans="1:19" x14ac:dyDescent="0.3">
      <c r="A937">
        <v>3991</v>
      </c>
      <c r="B937" t="s">
        <v>2067</v>
      </c>
      <c r="C937">
        <v>2014</v>
      </c>
      <c r="D937" t="s">
        <v>392</v>
      </c>
      <c r="E937" t="s">
        <v>6</v>
      </c>
      <c r="F937" t="s">
        <v>220</v>
      </c>
      <c r="G937" t="s">
        <v>47</v>
      </c>
      <c r="H937" t="s">
        <v>48</v>
      </c>
      <c r="I937" t="s">
        <v>2068</v>
      </c>
      <c r="J937" t="s">
        <v>17</v>
      </c>
      <c r="K937" t="s">
        <v>101</v>
      </c>
      <c r="L937" t="s">
        <v>19</v>
      </c>
      <c r="M937">
        <v>286.34399999999999</v>
      </c>
      <c r="N937">
        <v>3</v>
      </c>
      <c r="O937">
        <v>0.2</v>
      </c>
      <c r="P937">
        <v>-64.427400000000006</v>
      </c>
      <c r="Q937" s="1">
        <v>-0.22500000000000001</v>
      </c>
      <c r="R937" t="s">
        <v>401</v>
      </c>
      <c r="S937" t="s">
        <v>408</v>
      </c>
    </row>
    <row r="938" spans="1:19" x14ac:dyDescent="0.3">
      <c r="A938">
        <v>3995</v>
      </c>
      <c r="B938" t="s">
        <v>2069</v>
      </c>
      <c r="C938">
        <v>2015</v>
      </c>
      <c r="D938" t="s">
        <v>447</v>
      </c>
      <c r="E938" t="s">
        <v>6</v>
      </c>
      <c r="F938" t="s">
        <v>293</v>
      </c>
      <c r="G938" t="s">
        <v>40</v>
      </c>
      <c r="H938" t="s">
        <v>38</v>
      </c>
      <c r="I938" t="s">
        <v>1953</v>
      </c>
      <c r="J938" t="s">
        <v>10</v>
      </c>
      <c r="K938" t="s">
        <v>11</v>
      </c>
      <c r="L938" t="s">
        <v>19</v>
      </c>
      <c r="M938">
        <v>512.94000000000005</v>
      </c>
      <c r="N938">
        <v>3</v>
      </c>
      <c r="O938">
        <v>0</v>
      </c>
      <c r="P938">
        <v>97.458600000000004</v>
      </c>
      <c r="Q938" s="1">
        <v>0.19</v>
      </c>
      <c r="R938" t="s">
        <v>4</v>
      </c>
      <c r="S938" t="s">
        <v>394</v>
      </c>
    </row>
    <row r="939" spans="1:19" x14ac:dyDescent="0.3">
      <c r="A939">
        <v>4013</v>
      </c>
      <c r="B939" t="s">
        <v>2070</v>
      </c>
      <c r="C939">
        <v>2015</v>
      </c>
      <c r="D939" t="s">
        <v>410</v>
      </c>
      <c r="E939" t="s">
        <v>35</v>
      </c>
      <c r="F939" t="s">
        <v>360</v>
      </c>
      <c r="G939" t="s">
        <v>40</v>
      </c>
      <c r="H939" t="s">
        <v>38</v>
      </c>
      <c r="I939" t="s">
        <v>2071</v>
      </c>
      <c r="J939" t="s">
        <v>17</v>
      </c>
      <c r="K939" t="s">
        <v>25</v>
      </c>
      <c r="L939" t="s">
        <v>19</v>
      </c>
      <c r="M939">
        <v>17.12</v>
      </c>
      <c r="N939">
        <v>4</v>
      </c>
      <c r="O939">
        <v>0</v>
      </c>
      <c r="P939">
        <v>4.9648000000000003</v>
      </c>
      <c r="Q939" s="1">
        <v>0.28999999999999998</v>
      </c>
      <c r="R939" t="s">
        <v>4</v>
      </c>
      <c r="S939" t="s">
        <v>394</v>
      </c>
    </row>
    <row r="940" spans="1:19" x14ac:dyDescent="0.3">
      <c r="A940">
        <v>4026</v>
      </c>
      <c r="B940" t="s">
        <v>2072</v>
      </c>
      <c r="C940">
        <v>2017</v>
      </c>
      <c r="D940" t="s">
        <v>420</v>
      </c>
      <c r="E940" t="s">
        <v>13</v>
      </c>
      <c r="F940" t="s">
        <v>361</v>
      </c>
      <c r="G940" t="s">
        <v>37</v>
      </c>
      <c r="H940" t="s">
        <v>38</v>
      </c>
      <c r="I940" t="s">
        <v>2073</v>
      </c>
      <c r="J940" t="s">
        <v>17</v>
      </c>
      <c r="K940" t="s">
        <v>32</v>
      </c>
      <c r="L940" t="s">
        <v>53</v>
      </c>
      <c r="M940">
        <v>29.664000000000001</v>
      </c>
      <c r="N940">
        <v>4</v>
      </c>
      <c r="O940">
        <v>0.2</v>
      </c>
      <c r="P940">
        <v>10.0116</v>
      </c>
      <c r="Q940" s="1">
        <v>0.33750000000000002</v>
      </c>
      <c r="R940" t="s">
        <v>4</v>
      </c>
      <c r="S940" t="s">
        <v>408</v>
      </c>
    </row>
    <row r="941" spans="1:19" x14ac:dyDescent="0.3">
      <c r="A941">
        <v>4035</v>
      </c>
      <c r="B941" t="s">
        <v>2074</v>
      </c>
      <c r="C941">
        <v>2016</v>
      </c>
      <c r="D941" t="s">
        <v>410</v>
      </c>
      <c r="E941" t="s">
        <v>13</v>
      </c>
      <c r="F941" t="s">
        <v>227</v>
      </c>
      <c r="G941" t="s">
        <v>95</v>
      </c>
      <c r="H941" t="s">
        <v>48</v>
      </c>
      <c r="I941" t="s">
        <v>717</v>
      </c>
      <c r="J941" t="s">
        <v>17</v>
      </c>
      <c r="K941" t="s">
        <v>28</v>
      </c>
      <c r="L941" t="s">
        <v>158</v>
      </c>
      <c r="M941">
        <v>18.693000000000001</v>
      </c>
      <c r="N941">
        <v>3</v>
      </c>
      <c r="O941">
        <v>0.7</v>
      </c>
      <c r="P941">
        <v>-14.331300000000001</v>
      </c>
      <c r="Q941" s="1">
        <v>-0.76666666666666605</v>
      </c>
      <c r="R941" t="s">
        <v>401</v>
      </c>
      <c r="S941" t="s">
        <v>402</v>
      </c>
    </row>
    <row r="942" spans="1:19" x14ac:dyDescent="0.3">
      <c r="A942">
        <v>4075</v>
      </c>
      <c r="B942" t="s">
        <v>2075</v>
      </c>
      <c r="C942">
        <v>2017</v>
      </c>
      <c r="D942" t="s">
        <v>392</v>
      </c>
      <c r="E942" t="s">
        <v>6</v>
      </c>
      <c r="F942" t="s">
        <v>362</v>
      </c>
      <c r="G942" t="s">
        <v>21</v>
      </c>
      <c r="H942" t="s">
        <v>9</v>
      </c>
      <c r="I942" t="s">
        <v>2076</v>
      </c>
      <c r="J942" t="s">
        <v>10</v>
      </c>
      <c r="K942" t="s">
        <v>24</v>
      </c>
      <c r="L942" t="s">
        <v>19</v>
      </c>
      <c r="M942">
        <v>220.06399999999999</v>
      </c>
      <c r="N942">
        <v>4</v>
      </c>
      <c r="O942">
        <v>0.2</v>
      </c>
      <c r="P942">
        <v>55.015999999999998</v>
      </c>
      <c r="Q942" s="1">
        <v>0.25</v>
      </c>
      <c r="R942" t="s">
        <v>4</v>
      </c>
      <c r="S942" t="s">
        <v>408</v>
      </c>
    </row>
    <row r="943" spans="1:19" x14ac:dyDescent="0.3">
      <c r="A943">
        <v>4093</v>
      </c>
      <c r="B943" t="s">
        <v>2077</v>
      </c>
      <c r="C943">
        <v>2017</v>
      </c>
      <c r="D943" t="s">
        <v>417</v>
      </c>
      <c r="E943" t="s">
        <v>6</v>
      </c>
      <c r="F943" t="s">
        <v>124</v>
      </c>
      <c r="G943" t="s">
        <v>95</v>
      </c>
      <c r="H943" t="s">
        <v>48</v>
      </c>
      <c r="I943" t="s">
        <v>1271</v>
      </c>
      <c r="J943" t="s">
        <v>17</v>
      </c>
      <c r="K943" t="s">
        <v>23</v>
      </c>
      <c r="L943" t="s">
        <v>53</v>
      </c>
      <c r="M943">
        <v>221.024</v>
      </c>
      <c r="N943">
        <v>2</v>
      </c>
      <c r="O943">
        <v>0.2</v>
      </c>
      <c r="P943">
        <v>-55.256</v>
      </c>
      <c r="Q943" s="1">
        <v>-0.25</v>
      </c>
      <c r="R943" t="s">
        <v>401</v>
      </c>
      <c r="S943" t="s">
        <v>408</v>
      </c>
    </row>
    <row r="944" spans="1:19" x14ac:dyDescent="0.3">
      <c r="A944">
        <v>4114</v>
      </c>
      <c r="B944" t="s">
        <v>2078</v>
      </c>
      <c r="C944">
        <v>2015</v>
      </c>
      <c r="D944" t="s">
        <v>417</v>
      </c>
      <c r="E944" t="s">
        <v>13</v>
      </c>
      <c r="F944" t="s">
        <v>52</v>
      </c>
      <c r="G944" t="s">
        <v>37</v>
      </c>
      <c r="H944" t="s">
        <v>38</v>
      </c>
      <c r="I944" t="s">
        <v>1505</v>
      </c>
      <c r="J944" t="s">
        <v>17</v>
      </c>
      <c r="K944" t="s">
        <v>18</v>
      </c>
      <c r="L944" t="s">
        <v>19</v>
      </c>
      <c r="M944">
        <v>8.8559999999999999</v>
      </c>
      <c r="N944">
        <v>3</v>
      </c>
      <c r="O944">
        <v>0.2</v>
      </c>
      <c r="P944">
        <v>2.9889000000000001</v>
      </c>
      <c r="Q944" s="1">
        <v>0.33750000000000002</v>
      </c>
      <c r="R944" t="s">
        <v>4</v>
      </c>
      <c r="S944" t="s">
        <v>408</v>
      </c>
    </row>
    <row r="945" spans="1:19" x14ac:dyDescent="0.3">
      <c r="A945">
        <v>4122</v>
      </c>
      <c r="B945" t="s">
        <v>2079</v>
      </c>
      <c r="C945">
        <v>2017</v>
      </c>
      <c r="D945" t="s">
        <v>417</v>
      </c>
      <c r="E945" t="s">
        <v>6</v>
      </c>
      <c r="F945" t="s">
        <v>33</v>
      </c>
      <c r="G945" t="s">
        <v>34</v>
      </c>
      <c r="H945" t="s">
        <v>16</v>
      </c>
      <c r="I945" t="s">
        <v>1618</v>
      </c>
      <c r="J945" t="s">
        <v>17</v>
      </c>
      <c r="K945" t="s">
        <v>32</v>
      </c>
      <c r="L945" t="s">
        <v>158</v>
      </c>
      <c r="M945">
        <v>37.44</v>
      </c>
      <c r="N945">
        <v>6</v>
      </c>
      <c r="O945">
        <v>0</v>
      </c>
      <c r="P945">
        <v>16.847999999999999</v>
      </c>
      <c r="Q945" s="1">
        <v>0.45</v>
      </c>
      <c r="R945" t="s">
        <v>4</v>
      </c>
      <c r="S945" t="s">
        <v>394</v>
      </c>
    </row>
    <row r="946" spans="1:19" x14ac:dyDescent="0.3">
      <c r="A946">
        <v>4126</v>
      </c>
      <c r="B946" t="s">
        <v>2080</v>
      </c>
      <c r="C946">
        <v>2017</v>
      </c>
      <c r="D946" t="s">
        <v>425</v>
      </c>
      <c r="E946" t="s">
        <v>6</v>
      </c>
      <c r="F946" t="s">
        <v>179</v>
      </c>
      <c r="G946" t="s">
        <v>21</v>
      </c>
      <c r="H946" t="s">
        <v>9</v>
      </c>
      <c r="I946" t="s">
        <v>1219</v>
      </c>
      <c r="J946" t="s">
        <v>10</v>
      </c>
      <c r="K946" t="s">
        <v>24</v>
      </c>
      <c r="L946" t="s">
        <v>5</v>
      </c>
      <c r="M946">
        <v>91.031999999999996</v>
      </c>
      <c r="N946">
        <v>3</v>
      </c>
      <c r="O946">
        <v>0.2</v>
      </c>
      <c r="P946">
        <v>-2.2757999999999998</v>
      </c>
      <c r="Q946" s="1">
        <v>-2.5000000000000001E-2</v>
      </c>
      <c r="R946" t="s">
        <v>401</v>
      </c>
      <c r="S946" t="s">
        <v>408</v>
      </c>
    </row>
    <row r="947" spans="1:19" x14ac:dyDescent="0.3">
      <c r="A947">
        <v>4139</v>
      </c>
      <c r="B947" t="s">
        <v>2081</v>
      </c>
      <c r="C947">
        <v>2016</v>
      </c>
      <c r="D947" t="s">
        <v>410</v>
      </c>
      <c r="E947" t="s">
        <v>13</v>
      </c>
      <c r="F947" t="s">
        <v>363</v>
      </c>
      <c r="G947" t="s">
        <v>37</v>
      </c>
      <c r="H947" t="s">
        <v>38</v>
      </c>
      <c r="I947" t="s">
        <v>468</v>
      </c>
      <c r="J947" t="s">
        <v>17</v>
      </c>
      <c r="K947" t="s">
        <v>28</v>
      </c>
      <c r="L947" t="s">
        <v>53</v>
      </c>
      <c r="M947">
        <v>6.9240000000000004</v>
      </c>
      <c r="N947">
        <v>6</v>
      </c>
      <c r="O947">
        <v>0.8</v>
      </c>
      <c r="P947">
        <v>-10.385999999999999</v>
      </c>
      <c r="Q947" s="1">
        <v>-1.5</v>
      </c>
      <c r="R947" t="s">
        <v>401</v>
      </c>
      <c r="S947" t="s">
        <v>402</v>
      </c>
    </row>
    <row r="948" spans="1:19" x14ac:dyDescent="0.3">
      <c r="A948">
        <v>4143</v>
      </c>
      <c r="B948" t="s">
        <v>2082</v>
      </c>
      <c r="C948">
        <v>2014</v>
      </c>
      <c r="D948" t="s">
        <v>417</v>
      </c>
      <c r="E948" t="s">
        <v>6</v>
      </c>
      <c r="F948" t="s">
        <v>320</v>
      </c>
      <c r="G948" t="s">
        <v>61</v>
      </c>
      <c r="H948" t="s">
        <v>38</v>
      </c>
      <c r="I948" t="s">
        <v>1580</v>
      </c>
      <c r="J948" t="s">
        <v>17</v>
      </c>
      <c r="K948" t="s">
        <v>28</v>
      </c>
      <c r="L948" t="s">
        <v>19</v>
      </c>
      <c r="M948">
        <v>57.42</v>
      </c>
      <c r="N948">
        <v>9</v>
      </c>
      <c r="O948">
        <v>0</v>
      </c>
      <c r="P948">
        <v>26.4132</v>
      </c>
      <c r="Q948" s="1">
        <v>0.46</v>
      </c>
      <c r="R948" t="s">
        <v>4</v>
      </c>
      <c r="S948" t="s">
        <v>394</v>
      </c>
    </row>
    <row r="949" spans="1:19" x14ac:dyDescent="0.3">
      <c r="A949">
        <v>4160</v>
      </c>
      <c r="B949" t="s">
        <v>2083</v>
      </c>
      <c r="C949">
        <v>2016</v>
      </c>
      <c r="D949" t="s">
        <v>406</v>
      </c>
      <c r="E949" t="s">
        <v>6</v>
      </c>
      <c r="F949" t="s">
        <v>94</v>
      </c>
      <c r="G949" t="s">
        <v>157</v>
      </c>
      <c r="H949" t="s">
        <v>9</v>
      </c>
      <c r="I949" t="s">
        <v>421</v>
      </c>
      <c r="J949" t="s">
        <v>17</v>
      </c>
      <c r="K949" t="s">
        <v>25</v>
      </c>
      <c r="L949" t="s">
        <v>19</v>
      </c>
      <c r="M949">
        <v>12.84</v>
      </c>
      <c r="N949">
        <v>3</v>
      </c>
      <c r="O949">
        <v>0</v>
      </c>
      <c r="P949">
        <v>3.7235999999999998</v>
      </c>
      <c r="Q949" s="1">
        <v>0.28999999999999998</v>
      </c>
      <c r="R949" t="s">
        <v>4</v>
      </c>
      <c r="S949" t="s">
        <v>394</v>
      </c>
    </row>
    <row r="950" spans="1:19" x14ac:dyDescent="0.3">
      <c r="A950">
        <v>4163</v>
      </c>
      <c r="B950" t="s">
        <v>2084</v>
      </c>
      <c r="C950">
        <v>2015</v>
      </c>
      <c r="D950" t="s">
        <v>447</v>
      </c>
      <c r="E950" t="s">
        <v>6</v>
      </c>
      <c r="F950" t="s">
        <v>62</v>
      </c>
      <c r="G950" t="s">
        <v>230</v>
      </c>
      <c r="H950" t="s">
        <v>48</v>
      </c>
      <c r="I950" t="s">
        <v>2085</v>
      </c>
      <c r="J950" t="s">
        <v>17</v>
      </c>
      <c r="K950" t="s">
        <v>18</v>
      </c>
      <c r="L950" t="s">
        <v>19</v>
      </c>
      <c r="M950">
        <v>16.52</v>
      </c>
      <c r="N950">
        <v>4</v>
      </c>
      <c r="O950">
        <v>0</v>
      </c>
      <c r="P950">
        <v>7.5991999999999997</v>
      </c>
      <c r="Q950" s="1">
        <v>0.46</v>
      </c>
      <c r="R950" t="s">
        <v>4</v>
      </c>
      <c r="S950" t="s">
        <v>394</v>
      </c>
    </row>
    <row r="951" spans="1:19" x14ac:dyDescent="0.3">
      <c r="A951">
        <v>4173</v>
      </c>
      <c r="B951" t="s">
        <v>2086</v>
      </c>
      <c r="C951">
        <v>2016</v>
      </c>
      <c r="D951" t="s">
        <v>425</v>
      </c>
      <c r="E951" t="s">
        <v>6</v>
      </c>
      <c r="F951" t="s">
        <v>81</v>
      </c>
      <c r="G951" t="s">
        <v>82</v>
      </c>
      <c r="H951" t="s">
        <v>9</v>
      </c>
      <c r="I951" t="s">
        <v>2087</v>
      </c>
      <c r="J951" t="s">
        <v>17</v>
      </c>
      <c r="K951" t="s">
        <v>28</v>
      </c>
      <c r="L951" t="s">
        <v>158</v>
      </c>
      <c r="M951">
        <v>14.2</v>
      </c>
      <c r="N951">
        <v>2</v>
      </c>
      <c r="O951">
        <v>0</v>
      </c>
      <c r="P951">
        <v>6.532</v>
      </c>
      <c r="Q951" s="1">
        <v>0.46</v>
      </c>
      <c r="R951" t="s">
        <v>4</v>
      </c>
      <c r="S951" t="s">
        <v>394</v>
      </c>
    </row>
    <row r="952" spans="1:19" x14ac:dyDescent="0.3">
      <c r="A952">
        <v>4179</v>
      </c>
      <c r="B952" t="s">
        <v>2088</v>
      </c>
      <c r="C952">
        <v>2016</v>
      </c>
      <c r="D952" t="s">
        <v>396</v>
      </c>
      <c r="E952" t="s">
        <v>6</v>
      </c>
      <c r="F952" t="s">
        <v>14</v>
      </c>
      <c r="G952" t="s">
        <v>15</v>
      </c>
      <c r="H952" t="s">
        <v>16</v>
      </c>
      <c r="I952" t="s">
        <v>2073</v>
      </c>
      <c r="J952" t="s">
        <v>17</v>
      </c>
      <c r="K952" t="s">
        <v>32</v>
      </c>
      <c r="L952" t="s">
        <v>5</v>
      </c>
      <c r="M952">
        <v>46.35</v>
      </c>
      <c r="N952">
        <v>5</v>
      </c>
      <c r="O952">
        <v>0</v>
      </c>
      <c r="P952">
        <v>21.784500000000001</v>
      </c>
      <c r="Q952" s="1">
        <v>0.47</v>
      </c>
      <c r="R952" t="s">
        <v>4</v>
      </c>
      <c r="S952" t="s">
        <v>394</v>
      </c>
    </row>
    <row r="953" spans="1:19" x14ac:dyDescent="0.3">
      <c r="A953">
        <v>4192</v>
      </c>
      <c r="B953" t="s">
        <v>2089</v>
      </c>
      <c r="C953">
        <v>2015</v>
      </c>
      <c r="D953" t="s">
        <v>425</v>
      </c>
      <c r="E953" t="s">
        <v>6</v>
      </c>
      <c r="F953" t="s">
        <v>52</v>
      </c>
      <c r="G953" t="s">
        <v>37</v>
      </c>
      <c r="H953" t="s">
        <v>38</v>
      </c>
      <c r="I953" t="s">
        <v>2090</v>
      </c>
      <c r="J953" t="s">
        <v>17</v>
      </c>
      <c r="K953" t="s">
        <v>32</v>
      </c>
      <c r="L953" t="s">
        <v>158</v>
      </c>
      <c r="M953">
        <v>21.12</v>
      </c>
      <c r="N953">
        <v>5</v>
      </c>
      <c r="O953">
        <v>0.2</v>
      </c>
      <c r="P953">
        <v>6.6</v>
      </c>
      <c r="Q953" s="1">
        <v>0.3125</v>
      </c>
      <c r="R953" t="s">
        <v>4</v>
      </c>
      <c r="S953" t="s">
        <v>408</v>
      </c>
    </row>
    <row r="954" spans="1:19" x14ac:dyDescent="0.3">
      <c r="A954">
        <v>4212</v>
      </c>
      <c r="B954" t="s">
        <v>2091</v>
      </c>
      <c r="C954">
        <v>2014</v>
      </c>
      <c r="D954" t="s">
        <v>417</v>
      </c>
      <c r="E954" t="s">
        <v>6</v>
      </c>
      <c r="F954" t="s">
        <v>172</v>
      </c>
      <c r="G954" t="s">
        <v>8</v>
      </c>
      <c r="H954" t="s">
        <v>9</v>
      </c>
      <c r="I954" t="s">
        <v>1799</v>
      </c>
      <c r="J954" t="s">
        <v>17</v>
      </c>
      <c r="K954" t="s">
        <v>32</v>
      </c>
      <c r="L954" t="s">
        <v>5</v>
      </c>
      <c r="M954">
        <v>9.42</v>
      </c>
      <c r="N954">
        <v>3</v>
      </c>
      <c r="O954">
        <v>0</v>
      </c>
      <c r="P954">
        <v>4.2389999999999999</v>
      </c>
      <c r="Q954" s="1">
        <v>0.45</v>
      </c>
      <c r="R954" t="s">
        <v>4</v>
      </c>
      <c r="S954" t="s">
        <v>394</v>
      </c>
    </row>
    <row r="955" spans="1:19" x14ac:dyDescent="0.3">
      <c r="A955">
        <v>4216</v>
      </c>
      <c r="B955" t="s">
        <v>2092</v>
      </c>
      <c r="C955">
        <v>2014</v>
      </c>
      <c r="D955" t="s">
        <v>392</v>
      </c>
      <c r="E955" t="s">
        <v>6</v>
      </c>
      <c r="F955" t="s">
        <v>213</v>
      </c>
      <c r="G955" t="s">
        <v>67</v>
      </c>
      <c r="H955" t="s">
        <v>48</v>
      </c>
      <c r="I955" t="s">
        <v>2093</v>
      </c>
      <c r="J955" t="s">
        <v>17</v>
      </c>
      <c r="K955" t="s">
        <v>51</v>
      </c>
      <c r="L955" t="s">
        <v>19</v>
      </c>
      <c r="M955">
        <v>62.28</v>
      </c>
      <c r="N955">
        <v>4</v>
      </c>
      <c r="O955">
        <v>0</v>
      </c>
      <c r="P955">
        <v>29.271599999999999</v>
      </c>
      <c r="Q955" s="1">
        <v>0.47</v>
      </c>
      <c r="R955" t="s">
        <v>4</v>
      </c>
      <c r="S955" t="s">
        <v>394</v>
      </c>
    </row>
    <row r="956" spans="1:19" x14ac:dyDescent="0.3">
      <c r="A956">
        <v>4217</v>
      </c>
      <c r="B956" t="s">
        <v>2094</v>
      </c>
      <c r="C956">
        <v>2015</v>
      </c>
      <c r="D956" t="s">
        <v>529</v>
      </c>
      <c r="E956" t="s">
        <v>13</v>
      </c>
      <c r="F956" t="s">
        <v>14</v>
      </c>
      <c r="G956" t="s">
        <v>15</v>
      </c>
      <c r="H956" t="s">
        <v>16</v>
      </c>
      <c r="I956" t="s">
        <v>2095</v>
      </c>
      <c r="J956" t="s">
        <v>17</v>
      </c>
      <c r="K956" t="s">
        <v>18</v>
      </c>
      <c r="L956" t="s">
        <v>19</v>
      </c>
      <c r="M956">
        <v>9.24</v>
      </c>
      <c r="N956">
        <v>3</v>
      </c>
      <c r="O956">
        <v>0</v>
      </c>
      <c r="P956">
        <v>4.4352</v>
      </c>
      <c r="Q956" s="1">
        <v>0.48</v>
      </c>
      <c r="R956" t="s">
        <v>4</v>
      </c>
      <c r="S956" t="s">
        <v>394</v>
      </c>
    </row>
    <row r="957" spans="1:19" x14ac:dyDescent="0.3">
      <c r="A957">
        <v>4225</v>
      </c>
      <c r="B957" t="s">
        <v>2096</v>
      </c>
      <c r="C957">
        <v>2016</v>
      </c>
      <c r="D957" t="s">
        <v>428</v>
      </c>
      <c r="E957" t="s">
        <v>6</v>
      </c>
      <c r="F957" t="s">
        <v>162</v>
      </c>
      <c r="G957" t="s">
        <v>56</v>
      </c>
      <c r="H957" t="s">
        <v>38</v>
      </c>
      <c r="I957" t="s">
        <v>586</v>
      </c>
      <c r="J957" t="s">
        <v>17</v>
      </c>
      <c r="K957" t="s">
        <v>28</v>
      </c>
      <c r="L957" t="s">
        <v>53</v>
      </c>
      <c r="M957">
        <v>1.964</v>
      </c>
      <c r="N957">
        <v>2</v>
      </c>
      <c r="O957">
        <v>0.8</v>
      </c>
      <c r="P957">
        <v>-3.2406000000000001</v>
      </c>
      <c r="Q957" s="1">
        <v>-1.65</v>
      </c>
      <c r="R957" t="s">
        <v>401</v>
      </c>
      <c r="S957" t="s">
        <v>402</v>
      </c>
    </row>
    <row r="958" spans="1:19" x14ac:dyDescent="0.3">
      <c r="A958">
        <v>4228</v>
      </c>
      <c r="B958" t="s">
        <v>2097</v>
      </c>
      <c r="C958">
        <v>2015</v>
      </c>
      <c r="D958" t="s">
        <v>430</v>
      </c>
      <c r="E958" t="s">
        <v>35</v>
      </c>
      <c r="F958" t="s">
        <v>33</v>
      </c>
      <c r="G958" t="s">
        <v>34</v>
      </c>
      <c r="H958" t="s">
        <v>16</v>
      </c>
      <c r="I958" t="s">
        <v>751</v>
      </c>
      <c r="J958" t="s">
        <v>10</v>
      </c>
      <c r="K958" t="s">
        <v>12</v>
      </c>
      <c r="L958" t="s">
        <v>19</v>
      </c>
      <c r="M958">
        <v>61.584000000000003</v>
      </c>
      <c r="N958">
        <v>1</v>
      </c>
      <c r="O958">
        <v>0.2</v>
      </c>
      <c r="P958">
        <v>-6.9282000000000004</v>
      </c>
      <c r="Q958" s="1">
        <v>-0.1125</v>
      </c>
      <c r="R958" t="s">
        <v>401</v>
      </c>
      <c r="S958" t="s">
        <v>408</v>
      </c>
    </row>
    <row r="959" spans="1:19" x14ac:dyDescent="0.3">
      <c r="A959">
        <v>4230</v>
      </c>
      <c r="B959" t="s">
        <v>2098</v>
      </c>
      <c r="C959">
        <v>2017</v>
      </c>
      <c r="D959" t="s">
        <v>425</v>
      </c>
      <c r="E959" t="s">
        <v>13</v>
      </c>
      <c r="F959" t="s">
        <v>126</v>
      </c>
      <c r="G959" t="s">
        <v>37</v>
      </c>
      <c r="H959" t="s">
        <v>38</v>
      </c>
      <c r="I959" t="s">
        <v>1083</v>
      </c>
      <c r="J959" t="s">
        <v>10</v>
      </c>
      <c r="K959" t="s">
        <v>24</v>
      </c>
      <c r="L959" t="s">
        <v>19</v>
      </c>
      <c r="M959">
        <v>332.02800000000002</v>
      </c>
      <c r="N959">
        <v>9</v>
      </c>
      <c r="O959">
        <v>0.6</v>
      </c>
      <c r="P959">
        <v>-348.62939999999998</v>
      </c>
      <c r="Q959" s="1">
        <v>-1.05</v>
      </c>
      <c r="R959" t="s">
        <v>401</v>
      </c>
      <c r="S959" t="s">
        <v>402</v>
      </c>
    </row>
    <row r="960" spans="1:19" x14ac:dyDescent="0.3">
      <c r="A960">
        <v>4243</v>
      </c>
      <c r="B960" t="s">
        <v>2099</v>
      </c>
      <c r="C960">
        <v>2016</v>
      </c>
      <c r="D960" t="s">
        <v>406</v>
      </c>
      <c r="E960" t="s">
        <v>35</v>
      </c>
      <c r="F960" t="s">
        <v>73</v>
      </c>
      <c r="G960" t="s">
        <v>74</v>
      </c>
      <c r="H960" t="s">
        <v>9</v>
      </c>
      <c r="I960" t="s">
        <v>2100</v>
      </c>
      <c r="J960" t="s">
        <v>26</v>
      </c>
      <c r="K960" t="s">
        <v>27</v>
      </c>
      <c r="L960" t="s">
        <v>53</v>
      </c>
      <c r="M960">
        <v>149.97</v>
      </c>
      <c r="N960">
        <v>3</v>
      </c>
      <c r="O960">
        <v>0</v>
      </c>
      <c r="P960">
        <v>5.9988000000000001</v>
      </c>
      <c r="Q960" s="1">
        <v>0.04</v>
      </c>
      <c r="R960" t="s">
        <v>4</v>
      </c>
      <c r="S960" t="s">
        <v>394</v>
      </c>
    </row>
    <row r="961" spans="1:19" x14ac:dyDescent="0.3">
      <c r="A961">
        <v>4245</v>
      </c>
      <c r="B961" t="s">
        <v>2101</v>
      </c>
      <c r="C961">
        <v>2014</v>
      </c>
      <c r="D961" t="s">
        <v>447</v>
      </c>
      <c r="E961" t="s">
        <v>13</v>
      </c>
      <c r="F961" t="s">
        <v>14</v>
      </c>
      <c r="G961" t="s">
        <v>15</v>
      </c>
      <c r="H961" t="s">
        <v>16</v>
      </c>
      <c r="I961" t="s">
        <v>576</v>
      </c>
      <c r="J961" t="s">
        <v>26</v>
      </c>
      <c r="K961" t="s">
        <v>50</v>
      </c>
      <c r="L961" t="s">
        <v>19</v>
      </c>
      <c r="M961">
        <v>66.3</v>
      </c>
      <c r="N961">
        <v>3</v>
      </c>
      <c r="O961">
        <v>0</v>
      </c>
      <c r="P961">
        <v>8.6189999999999998</v>
      </c>
      <c r="Q961" s="1">
        <v>0.13</v>
      </c>
      <c r="R961" t="s">
        <v>4</v>
      </c>
      <c r="S961" t="s">
        <v>394</v>
      </c>
    </row>
    <row r="962" spans="1:19" x14ac:dyDescent="0.3">
      <c r="A962">
        <v>4260</v>
      </c>
      <c r="B962" t="s">
        <v>2102</v>
      </c>
      <c r="C962">
        <v>2017</v>
      </c>
      <c r="D962" t="s">
        <v>399</v>
      </c>
      <c r="E962" t="s">
        <v>13</v>
      </c>
      <c r="F962" t="s">
        <v>66</v>
      </c>
      <c r="G962" t="s">
        <v>67</v>
      </c>
      <c r="H962" t="s">
        <v>48</v>
      </c>
      <c r="I962" t="s">
        <v>2103</v>
      </c>
      <c r="J962" t="s">
        <v>17</v>
      </c>
      <c r="K962" t="s">
        <v>51</v>
      </c>
      <c r="L962" t="s">
        <v>5</v>
      </c>
      <c r="M962">
        <v>47.98</v>
      </c>
      <c r="N962">
        <v>2</v>
      </c>
      <c r="O962">
        <v>0</v>
      </c>
      <c r="P962">
        <v>23.99</v>
      </c>
      <c r="Q962" s="1">
        <v>0.5</v>
      </c>
      <c r="R962" t="s">
        <v>4</v>
      </c>
      <c r="S962" t="s">
        <v>394</v>
      </c>
    </row>
    <row r="963" spans="1:19" x14ac:dyDescent="0.3">
      <c r="A963">
        <v>4289</v>
      </c>
      <c r="B963" t="s">
        <v>2104</v>
      </c>
      <c r="C963">
        <v>2015</v>
      </c>
      <c r="D963" t="s">
        <v>417</v>
      </c>
      <c r="E963" t="s">
        <v>13</v>
      </c>
      <c r="F963" t="s">
        <v>52</v>
      </c>
      <c r="G963" t="s">
        <v>37</v>
      </c>
      <c r="H963" t="s">
        <v>38</v>
      </c>
      <c r="I963" t="s">
        <v>2105</v>
      </c>
      <c r="J963" t="s">
        <v>17</v>
      </c>
      <c r="K963" t="s">
        <v>28</v>
      </c>
      <c r="L963" t="s">
        <v>19</v>
      </c>
      <c r="M963">
        <v>33.28</v>
      </c>
      <c r="N963">
        <v>5</v>
      </c>
      <c r="O963">
        <v>0.8</v>
      </c>
      <c r="P963">
        <v>-49.92</v>
      </c>
      <c r="Q963" s="1">
        <v>-1.5</v>
      </c>
      <c r="R963" t="s">
        <v>401</v>
      </c>
      <c r="S963" t="s">
        <v>402</v>
      </c>
    </row>
    <row r="964" spans="1:19" x14ac:dyDescent="0.3">
      <c r="A964">
        <v>4298</v>
      </c>
      <c r="B964" t="s">
        <v>2106</v>
      </c>
      <c r="C964">
        <v>2017</v>
      </c>
      <c r="D964" t="s">
        <v>420</v>
      </c>
      <c r="E964" t="s">
        <v>6</v>
      </c>
      <c r="F964" t="s">
        <v>329</v>
      </c>
      <c r="G964" t="s">
        <v>21</v>
      </c>
      <c r="H964" t="s">
        <v>9</v>
      </c>
      <c r="I964" t="s">
        <v>2107</v>
      </c>
      <c r="J964" t="s">
        <v>26</v>
      </c>
      <c r="K964" t="s">
        <v>27</v>
      </c>
      <c r="L964" t="s">
        <v>5</v>
      </c>
      <c r="M964">
        <v>4367.8959999999997</v>
      </c>
      <c r="N964">
        <v>13</v>
      </c>
      <c r="O964">
        <v>0.2</v>
      </c>
      <c r="P964">
        <v>327.59219999999999</v>
      </c>
      <c r="Q964" s="1">
        <v>7.4999999999999997E-2</v>
      </c>
      <c r="R964" t="s">
        <v>4</v>
      </c>
      <c r="S964" t="s">
        <v>408</v>
      </c>
    </row>
    <row r="965" spans="1:19" x14ac:dyDescent="0.3">
      <c r="A965">
        <v>4303</v>
      </c>
      <c r="B965" t="s">
        <v>2108</v>
      </c>
      <c r="C965">
        <v>2014</v>
      </c>
      <c r="D965" t="s">
        <v>420</v>
      </c>
      <c r="E965" t="s">
        <v>35</v>
      </c>
      <c r="F965" t="s">
        <v>144</v>
      </c>
      <c r="G965" t="s">
        <v>95</v>
      </c>
      <c r="H965" t="s">
        <v>48</v>
      </c>
      <c r="I965" t="s">
        <v>2032</v>
      </c>
      <c r="J965" t="s">
        <v>17</v>
      </c>
      <c r="K965" t="s">
        <v>25</v>
      </c>
      <c r="L965" t="s">
        <v>5</v>
      </c>
      <c r="M965">
        <v>3.9119999999999999</v>
      </c>
      <c r="N965">
        <v>1</v>
      </c>
      <c r="O965">
        <v>0.2</v>
      </c>
      <c r="P965">
        <v>1.0268999999999999</v>
      </c>
      <c r="Q965" s="1">
        <v>0.26250000000000001</v>
      </c>
      <c r="R965" t="s">
        <v>4</v>
      </c>
      <c r="S965" t="s">
        <v>408</v>
      </c>
    </row>
    <row r="966" spans="1:19" x14ac:dyDescent="0.3">
      <c r="A966">
        <v>4304</v>
      </c>
      <c r="B966" t="s">
        <v>2109</v>
      </c>
      <c r="C966">
        <v>2016</v>
      </c>
      <c r="D966" t="s">
        <v>399</v>
      </c>
      <c r="E966" t="s">
        <v>6</v>
      </c>
      <c r="F966" t="s">
        <v>366</v>
      </c>
      <c r="G966" t="s">
        <v>37</v>
      </c>
      <c r="H966" t="s">
        <v>38</v>
      </c>
      <c r="I966" t="s">
        <v>1115</v>
      </c>
      <c r="J966" t="s">
        <v>17</v>
      </c>
      <c r="K966" t="s">
        <v>51</v>
      </c>
      <c r="L966" t="s">
        <v>158</v>
      </c>
      <c r="M966">
        <v>59.752000000000002</v>
      </c>
      <c r="N966">
        <v>7</v>
      </c>
      <c r="O966">
        <v>0.2</v>
      </c>
      <c r="P966">
        <v>19.4194</v>
      </c>
      <c r="Q966" s="1">
        <v>0.32500000000000001</v>
      </c>
      <c r="R966" t="s">
        <v>4</v>
      </c>
      <c r="S966" t="s">
        <v>408</v>
      </c>
    </row>
    <row r="967" spans="1:19" x14ac:dyDescent="0.3">
      <c r="A967">
        <v>4305</v>
      </c>
      <c r="B967" t="s">
        <v>2110</v>
      </c>
      <c r="C967">
        <v>2014</v>
      </c>
      <c r="D967" t="s">
        <v>399</v>
      </c>
      <c r="E967" t="s">
        <v>6</v>
      </c>
      <c r="F967" t="s">
        <v>33</v>
      </c>
      <c r="G967" t="s">
        <v>34</v>
      </c>
      <c r="H967" t="s">
        <v>16</v>
      </c>
      <c r="I967" t="s">
        <v>814</v>
      </c>
      <c r="J967" t="s">
        <v>10</v>
      </c>
      <c r="K967" t="s">
        <v>24</v>
      </c>
      <c r="L967" t="s">
        <v>5</v>
      </c>
      <c r="M967">
        <v>63.92</v>
      </c>
      <c r="N967">
        <v>4</v>
      </c>
      <c r="O967">
        <v>0</v>
      </c>
      <c r="P967">
        <v>3.1960000000000002</v>
      </c>
      <c r="Q967" s="1">
        <v>0.05</v>
      </c>
      <c r="R967" t="s">
        <v>4</v>
      </c>
      <c r="S967" t="s">
        <v>394</v>
      </c>
    </row>
    <row r="968" spans="1:19" x14ac:dyDescent="0.3">
      <c r="A968">
        <v>4322</v>
      </c>
      <c r="B968" t="s">
        <v>2111</v>
      </c>
      <c r="C968">
        <v>2015</v>
      </c>
      <c r="D968" t="s">
        <v>529</v>
      </c>
      <c r="E968" t="s">
        <v>6</v>
      </c>
      <c r="F968" t="s">
        <v>124</v>
      </c>
      <c r="G968" t="s">
        <v>95</v>
      </c>
      <c r="H968" t="s">
        <v>48</v>
      </c>
      <c r="I968" t="s">
        <v>926</v>
      </c>
      <c r="J968" t="s">
        <v>17</v>
      </c>
      <c r="K968" t="s">
        <v>28</v>
      </c>
      <c r="L968" t="s">
        <v>19</v>
      </c>
      <c r="M968">
        <v>14.952</v>
      </c>
      <c r="N968">
        <v>2</v>
      </c>
      <c r="O968">
        <v>0.7</v>
      </c>
      <c r="P968">
        <v>-11.961600000000001</v>
      </c>
      <c r="Q968" s="1">
        <v>-0.8</v>
      </c>
      <c r="R968" t="s">
        <v>401</v>
      </c>
      <c r="S968" t="s">
        <v>402</v>
      </c>
    </row>
    <row r="969" spans="1:19" x14ac:dyDescent="0.3">
      <c r="A969">
        <v>4327</v>
      </c>
      <c r="B969" t="s">
        <v>2112</v>
      </c>
      <c r="C969">
        <v>2016</v>
      </c>
      <c r="D969" t="s">
        <v>430</v>
      </c>
      <c r="E969" t="s">
        <v>13</v>
      </c>
      <c r="F969" t="s">
        <v>205</v>
      </c>
      <c r="G969" t="s">
        <v>123</v>
      </c>
      <c r="H969" t="s">
        <v>48</v>
      </c>
      <c r="I969" t="s">
        <v>2113</v>
      </c>
      <c r="J969" t="s">
        <v>17</v>
      </c>
      <c r="K969" t="s">
        <v>25</v>
      </c>
      <c r="L969" t="s">
        <v>53</v>
      </c>
      <c r="M969">
        <v>9.2100000000000009</v>
      </c>
      <c r="N969">
        <v>3</v>
      </c>
      <c r="O969">
        <v>0</v>
      </c>
      <c r="P969">
        <v>2.3025000000000002</v>
      </c>
      <c r="Q969" s="1">
        <v>0.25</v>
      </c>
      <c r="R969" t="s">
        <v>4</v>
      </c>
      <c r="S969" t="s">
        <v>394</v>
      </c>
    </row>
    <row r="970" spans="1:19" x14ac:dyDescent="0.3">
      <c r="A970">
        <v>4363</v>
      </c>
      <c r="B970" t="s">
        <v>2114</v>
      </c>
      <c r="C970">
        <v>2017</v>
      </c>
      <c r="D970" t="s">
        <v>417</v>
      </c>
      <c r="E970" t="s">
        <v>6</v>
      </c>
      <c r="F970" t="s">
        <v>367</v>
      </c>
      <c r="G970" t="s">
        <v>368</v>
      </c>
      <c r="H970" t="s">
        <v>38</v>
      </c>
      <c r="I970" t="s">
        <v>2115</v>
      </c>
      <c r="J970" t="s">
        <v>17</v>
      </c>
      <c r="K970" t="s">
        <v>25</v>
      </c>
      <c r="L970" t="s">
        <v>5</v>
      </c>
      <c r="M970">
        <v>131.94</v>
      </c>
      <c r="N970">
        <v>3</v>
      </c>
      <c r="O970">
        <v>0</v>
      </c>
      <c r="P970">
        <v>35.623800000000003</v>
      </c>
      <c r="Q970" s="1">
        <v>0.27</v>
      </c>
      <c r="R970" t="s">
        <v>4</v>
      </c>
      <c r="S970" t="s">
        <v>394</v>
      </c>
    </row>
    <row r="971" spans="1:19" x14ac:dyDescent="0.3">
      <c r="A971">
        <v>4381</v>
      </c>
      <c r="B971" t="s">
        <v>2116</v>
      </c>
      <c r="C971">
        <v>2015</v>
      </c>
      <c r="D971" t="s">
        <v>399</v>
      </c>
      <c r="E971" t="s">
        <v>6</v>
      </c>
      <c r="F971" t="s">
        <v>43</v>
      </c>
      <c r="G971" t="s">
        <v>15</v>
      </c>
      <c r="H971" t="s">
        <v>16</v>
      </c>
      <c r="I971" t="s">
        <v>1005</v>
      </c>
      <c r="J971" t="s">
        <v>17</v>
      </c>
      <c r="K971" t="s">
        <v>25</v>
      </c>
      <c r="L971" t="s">
        <v>19</v>
      </c>
      <c r="M971">
        <v>60.45</v>
      </c>
      <c r="N971">
        <v>3</v>
      </c>
      <c r="O971">
        <v>0</v>
      </c>
      <c r="P971">
        <v>16.3215</v>
      </c>
      <c r="Q971" s="1">
        <v>0.27</v>
      </c>
      <c r="R971" t="s">
        <v>4</v>
      </c>
      <c r="S971" t="s">
        <v>394</v>
      </c>
    </row>
    <row r="972" spans="1:19" x14ac:dyDescent="0.3">
      <c r="A972">
        <v>4398</v>
      </c>
      <c r="B972" t="s">
        <v>2117</v>
      </c>
      <c r="C972">
        <v>2014</v>
      </c>
      <c r="D972" t="s">
        <v>425</v>
      </c>
      <c r="E972" t="s">
        <v>6</v>
      </c>
      <c r="F972" t="s">
        <v>46</v>
      </c>
      <c r="G972" t="s">
        <v>47</v>
      </c>
      <c r="H972" t="s">
        <v>48</v>
      </c>
      <c r="I972" t="s">
        <v>1279</v>
      </c>
      <c r="J972" t="s">
        <v>10</v>
      </c>
      <c r="K972" t="s">
        <v>12</v>
      </c>
      <c r="L972" t="s">
        <v>19</v>
      </c>
      <c r="M972">
        <v>172.18600000000001</v>
      </c>
      <c r="N972">
        <v>2</v>
      </c>
      <c r="O972">
        <v>0.3</v>
      </c>
      <c r="P972">
        <v>-46.736199999999997</v>
      </c>
      <c r="Q972" s="1">
        <v>-0.27142857142857102</v>
      </c>
      <c r="R972" t="s">
        <v>401</v>
      </c>
      <c r="S972" t="s">
        <v>402</v>
      </c>
    </row>
    <row r="973" spans="1:19" x14ac:dyDescent="0.3">
      <c r="A973">
        <v>4415</v>
      </c>
      <c r="B973" t="s">
        <v>2118</v>
      </c>
      <c r="C973">
        <v>2017</v>
      </c>
      <c r="D973" t="s">
        <v>420</v>
      </c>
      <c r="E973" t="s">
        <v>13</v>
      </c>
      <c r="F973" t="s">
        <v>174</v>
      </c>
      <c r="G973" t="s">
        <v>156</v>
      </c>
      <c r="H973" t="s">
        <v>48</v>
      </c>
      <c r="I973" t="s">
        <v>1113</v>
      </c>
      <c r="J973" t="s">
        <v>17</v>
      </c>
      <c r="K973" t="s">
        <v>28</v>
      </c>
      <c r="L973" t="s">
        <v>19</v>
      </c>
      <c r="M973">
        <v>387.99</v>
      </c>
      <c r="N973">
        <v>1</v>
      </c>
      <c r="O973">
        <v>0</v>
      </c>
      <c r="P973">
        <v>182.3553</v>
      </c>
      <c r="Q973" s="1">
        <v>0.47</v>
      </c>
      <c r="R973" t="s">
        <v>4</v>
      </c>
      <c r="S973" t="s">
        <v>394</v>
      </c>
    </row>
    <row r="974" spans="1:19" x14ac:dyDescent="0.3">
      <c r="A974">
        <v>4421</v>
      </c>
      <c r="B974" t="s">
        <v>2119</v>
      </c>
      <c r="C974">
        <v>2015</v>
      </c>
      <c r="D974" t="s">
        <v>392</v>
      </c>
      <c r="E974" t="s">
        <v>6</v>
      </c>
      <c r="F974" t="s">
        <v>70</v>
      </c>
      <c r="G974" t="s">
        <v>56</v>
      </c>
      <c r="H974" t="s">
        <v>38</v>
      </c>
      <c r="I974" t="s">
        <v>2120</v>
      </c>
      <c r="J974" t="s">
        <v>17</v>
      </c>
      <c r="K974" t="s">
        <v>101</v>
      </c>
      <c r="L974" t="s">
        <v>5</v>
      </c>
      <c r="M974">
        <v>40.92</v>
      </c>
      <c r="N974">
        <v>5</v>
      </c>
      <c r="O974">
        <v>0.2</v>
      </c>
      <c r="P974">
        <v>3.069</v>
      </c>
      <c r="Q974" s="1">
        <v>7.4999999999999997E-2</v>
      </c>
      <c r="R974" t="s">
        <v>4</v>
      </c>
      <c r="S974" t="s">
        <v>408</v>
      </c>
    </row>
    <row r="975" spans="1:19" x14ac:dyDescent="0.3">
      <c r="A975">
        <v>4436</v>
      </c>
      <c r="B975" t="s">
        <v>2121</v>
      </c>
      <c r="C975">
        <v>2016</v>
      </c>
      <c r="D975" t="s">
        <v>417</v>
      </c>
      <c r="E975" t="s">
        <v>6</v>
      </c>
      <c r="F975" t="s">
        <v>70</v>
      </c>
      <c r="G975" t="s">
        <v>56</v>
      </c>
      <c r="H975" t="s">
        <v>38</v>
      </c>
      <c r="I975" t="s">
        <v>971</v>
      </c>
      <c r="J975" t="s">
        <v>17</v>
      </c>
      <c r="K975" t="s">
        <v>28</v>
      </c>
      <c r="L975" t="s">
        <v>19</v>
      </c>
      <c r="M975">
        <v>2.1819999999999999</v>
      </c>
      <c r="N975">
        <v>1</v>
      </c>
      <c r="O975">
        <v>0.8</v>
      </c>
      <c r="P975">
        <v>-3.6002999999999998</v>
      </c>
      <c r="Q975" s="1">
        <v>-1.65</v>
      </c>
      <c r="R975" t="s">
        <v>401</v>
      </c>
      <c r="S975" t="s">
        <v>402</v>
      </c>
    </row>
    <row r="976" spans="1:19" x14ac:dyDescent="0.3">
      <c r="A976">
        <v>4449</v>
      </c>
      <c r="B976" t="s">
        <v>2122</v>
      </c>
      <c r="C976">
        <v>2015</v>
      </c>
      <c r="D976" t="s">
        <v>396</v>
      </c>
      <c r="E976" t="s">
        <v>6</v>
      </c>
      <c r="F976" t="s">
        <v>14</v>
      </c>
      <c r="G976" t="s">
        <v>15</v>
      </c>
      <c r="H976" t="s">
        <v>16</v>
      </c>
      <c r="I976" t="s">
        <v>1042</v>
      </c>
      <c r="J976" t="s">
        <v>10</v>
      </c>
      <c r="K976" t="s">
        <v>24</v>
      </c>
      <c r="L976" t="s">
        <v>19</v>
      </c>
      <c r="M976">
        <v>12.56</v>
      </c>
      <c r="N976">
        <v>2</v>
      </c>
      <c r="O976">
        <v>0</v>
      </c>
      <c r="P976">
        <v>4.0191999999999997</v>
      </c>
      <c r="Q976" s="1">
        <v>0.32</v>
      </c>
      <c r="R976" t="s">
        <v>4</v>
      </c>
      <c r="S976" t="s">
        <v>394</v>
      </c>
    </row>
    <row r="977" spans="1:19" x14ac:dyDescent="0.3">
      <c r="A977">
        <v>4452</v>
      </c>
      <c r="B977" t="s">
        <v>2123</v>
      </c>
      <c r="C977">
        <v>2016</v>
      </c>
      <c r="D977" t="s">
        <v>425</v>
      </c>
      <c r="E977" t="s">
        <v>6</v>
      </c>
      <c r="F977" t="s">
        <v>43</v>
      </c>
      <c r="G977" t="s">
        <v>15</v>
      </c>
      <c r="H977" t="s">
        <v>16</v>
      </c>
      <c r="I977" t="s">
        <v>2124</v>
      </c>
      <c r="J977" t="s">
        <v>10</v>
      </c>
      <c r="K977" t="s">
        <v>24</v>
      </c>
      <c r="L977" t="s">
        <v>53</v>
      </c>
      <c r="M977">
        <v>25.4</v>
      </c>
      <c r="N977">
        <v>5</v>
      </c>
      <c r="O977">
        <v>0</v>
      </c>
      <c r="P977">
        <v>8.6359999999999992</v>
      </c>
      <c r="Q977" s="1">
        <v>0.34</v>
      </c>
      <c r="R977" t="s">
        <v>4</v>
      </c>
      <c r="S977" t="s">
        <v>394</v>
      </c>
    </row>
    <row r="978" spans="1:19" x14ac:dyDescent="0.3">
      <c r="A978">
        <v>4466</v>
      </c>
      <c r="B978" t="s">
        <v>2125</v>
      </c>
      <c r="C978">
        <v>2015</v>
      </c>
      <c r="D978" t="s">
        <v>420</v>
      </c>
      <c r="E978" t="s">
        <v>13</v>
      </c>
      <c r="F978" t="s">
        <v>365</v>
      </c>
      <c r="G978" t="s">
        <v>348</v>
      </c>
      <c r="H978" t="s">
        <v>16</v>
      </c>
      <c r="I978" t="s">
        <v>1589</v>
      </c>
      <c r="J978" t="s">
        <v>17</v>
      </c>
      <c r="K978" t="s">
        <v>28</v>
      </c>
      <c r="L978" t="s">
        <v>19</v>
      </c>
      <c r="M978">
        <v>3.3039999999999998</v>
      </c>
      <c r="N978">
        <v>1</v>
      </c>
      <c r="O978">
        <v>0.2</v>
      </c>
      <c r="P978">
        <v>1.1151</v>
      </c>
      <c r="Q978" s="1">
        <v>0.33750000000000002</v>
      </c>
      <c r="R978" t="s">
        <v>4</v>
      </c>
      <c r="S978" t="s">
        <v>408</v>
      </c>
    </row>
    <row r="979" spans="1:19" x14ac:dyDescent="0.3">
      <c r="A979">
        <v>4480</v>
      </c>
      <c r="B979" t="s">
        <v>2126</v>
      </c>
      <c r="C979">
        <v>2014</v>
      </c>
      <c r="D979" t="s">
        <v>447</v>
      </c>
      <c r="E979" t="s">
        <v>6</v>
      </c>
      <c r="F979" t="s">
        <v>66</v>
      </c>
      <c r="G979" t="s">
        <v>67</v>
      </c>
      <c r="H979" t="s">
        <v>48</v>
      </c>
      <c r="I979" t="s">
        <v>2127</v>
      </c>
      <c r="J979" t="s">
        <v>17</v>
      </c>
      <c r="K979" t="s">
        <v>32</v>
      </c>
      <c r="L979" t="s">
        <v>19</v>
      </c>
      <c r="M979">
        <v>24.9</v>
      </c>
      <c r="N979">
        <v>5</v>
      </c>
      <c r="O979">
        <v>0</v>
      </c>
      <c r="P979">
        <v>11.702999999999999</v>
      </c>
      <c r="Q979" s="1">
        <v>0.47</v>
      </c>
      <c r="R979" t="s">
        <v>4</v>
      </c>
      <c r="S979" t="s">
        <v>394</v>
      </c>
    </row>
    <row r="980" spans="1:19" x14ac:dyDescent="0.3">
      <c r="A980">
        <v>4496</v>
      </c>
      <c r="B980" t="s">
        <v>2128</v>
      </c>
      <c r="C980">
        <v>2017</v>
      </c>
      <c r="D980" t="s">
        <v>396</v>
      </c>
      <c r="E980" t="s">
        <v>6</v>
      </c>
      <c r="F980" t="s">
        <v>14</v>
      </c>
      <c r="G980" t="s">
        <v>15</v>
      </c>
      <c r="H980" t="s">
        <v>16</v>
      </c>
      <c r="I980" t="s">
        <v>1375</v>
      </c>
      <c r="J980" t="s">
        <v>10</v>
      </c>
      <c r="K980" t="s">
        <v>11</v>
      </c>
      <c r="L980" t="s">
        <v>19</v>
      </c>
      <c r="M980">
        <v>917.92349999999999</v>
      </c>
      <c r="N980">
        <v>9</v>
      </c>
      <c r="O980">
        <v>0.15</v>
      </c>
      <c r="P980">
        <v>75.593699999999998</v>
      </c>
      <c r="Q980" s="1">
        <v>8.2352941176470601E-2</v>
      </c>
      <c r="R980" t="s">
        <v>4</v>
      </c>
      <c r="S980" t="s">
        <v>408</v>
      </c>
    </row>
    <row r="981" spans="1:19" x14ac:dyDescent="0.3">
      <c r="A981">
        <v>4510</v>
      </c>
      <c r="B981" t="s">
        <v>2129</v>
      </c>
      <c r="C981">
        <v>2017</v>
      </c>
      <c r="D981" t="s">
        <v>417</v>
      </c>
      <c r="E981" t="s">
        <v>6</v>
      </c>
      <c r="F981" t="s">
        <v>14</v>
      </c>
      <c r="G981" t="s">
        <v>15</v>
      </c>
      <c r="H981" t="s">
        <v>16</v>
      </c>
      <c r="I981" t="s">
        <v>1067</v>
      </c>
      <c r="J981" t="s">
        <v>10</v>
      </c>
      <c r="K981" t="s">
        <v>22</v>
      </c>
      <c r="L981" t="s">
        <v>19</v>
      </c>
      <c r="M981">
        <v>171.28800000000001</v>
      </c>
      <c r="N981">
        <v>3</v>
      </c>
      <c r="O981">
        <v>0.2</v>
      </c>
      <c r="P981">
        <v>-6.4233000000000002</v>
      </c>
      <c r="Q981" s="1">
        <v>-3.7499999999999999E-2</v>
      </c>
      <c r="R981" t="s">
        <v>401</v>
      </c>
      <c r="S981" t="s">
        <v>408</v>
      </c>
    </row>
    <row r="982" spans="1:19" x14ac:dyDescent="0.3">
      <c r="A982">
        <v>4521</v>
      </c>
      <c r="B982" t="s">
        <v>2130</v>
      </c>
      <c r="C982">
        <v>2014</v>
      </c>
      <c r="D982" t="s">
        <v>529</v>
      </c>
      <c r="E982" t="s">
        <v>13</v>
      </c>
      <c r="F982" t="s">
        <v>172</v>
      </c>
      <c r="G982" t="s">
        <v>65</v>
      </c>
      <c r="H982" t="s">
        <v>38</v>
      </c>
      <c r="I982" t="s">
        <v>2131</v>
      </c>
      <c r="J982" t="s">
        <v>26</v>
      </c>
      <c r="K982" t="s">
        <v>50</v>
      </c>
      <c r="L982" t="s">
        <v>19</v>
      </c>
      <c r="M982">
        <v>62.31</v>
      </c>
      <c r="N982">
        <v>3</v>
      </c>
      <c r="O982">
        <v>0</v>
      </c>
      <c r="P982">
        <v>22.4316</v>
      </c>
      <c r="Q982" s="1">
        <v>0.36</v>
      </c>
      <c r="R982" t="s">
        <v>4</v>
      </c>
      <c r="S982" t="s">
        <v>394</v>
      </c>
    </row>
    <row r="983" spans="1:19" x14ac:dyDescent="0.3">
      <c r="A983">
        <v>4524</v>
      </c>
      <c r="B983" t="s">
        <v>2132</v>
      </c>
      <c r="C983">
        <v>2014</v>
      </c>
      <c r="D983" t="s">
        <v>392</v>
      </c>
      <c r="E983" t="s">
        <v>6</v>
      </c>
      <c r="F983" t="s">
        <v>66</v>
      </c>
      <c r="G983" t="s">
        <v>67</v>
      </c>
      <c r="H983" t="s">
        <v>48</v>
      </c>
      <c r="I983" t="s">
        <v>1103</v>
      </c>
      <c r="J983" t="s">
        <v>17</v>
      </c>
      <c r="K983" t="s">
        <v>18</v>
      </c>
      <c r="L983" t="s">
        <v>19</v>
      </c>
      <c r="M983">
        <v>34.86</v>
      </c>
      <c r="N983">
        <v>7</v>
      </c>
      <c r="O983">
        <v>0</v>
      </c>
      <c r="P983">
        <v>16.035599999999999</v>
      </c>
      <c r="Q983" s="1">
        <v>0.46</v>
      </c>
      <c r="R983" t="s">
        <v>4</v>
      </c>
      <c r="S983" t="s">
        <v>394</v>
      </c>
    </row>
    <row r="984" spans="1:19" x14ac:dyDescent="0.3">
      <c r="A984">
        <v>4533</v>
      </c>
      <c r="B984" t="s">
        <v>2133</v>
      </c>
      <c r="C984">
        <v>2014</v>
      </c>
      <c r="D984" t="s">
        <v>399</v>
      </c>
      <c r="E984" t="s">
        <v>35</v>
      </c>
      <c r="F984" t="s">
        <v>314</v>
      </c>
      <c r="G984" t="s">
        <v>15</v>
      </c>
      <c r="H984" t="s">
        <v>16</v>
      </c>
      <c r="I984" t="s">
        <v>426</v>
      </c>
      <c r="J984" t="s">
        <v>10</v>
      </c>
      <c r="K984" t="s">
        <v>12</v>
      </c>
      <c r="L984" t="s">
        <v>158</v>
      </c>
      <c r="M984">
        <v>122.352</v>
      </c>
      <c r="N984">
        <v>3</v>
      </c>
      <c r="O984">
        <v>0.2</v>
      </c>
      <c r="P984">
        <v>13.7646</v>
      </c>
      <c r="Q984" s="1">
        <v>0.1125</v>
      </c>
      <c r="R984" t="s">
        <v>4</v>
      </c>
      <c r="S984" t="s">
        <v>408</v>
      </c>
    </row>
    <row r="985" spans="1:19" x14ac:dyDescent="0.3">
      <c r="A985">
        <v>4543</v>
      </c>
      <c r="B985" t="s">
        <v>2134</v>
      </c>
      <c r="C985">
        <v>2017</v>
      </c>
      <c r="D985" t="s">
        <v>447</v>
      </c>
      <c r="E985" t="s">
        <v>6</v>
      </c>
      <c r="F985" t="s">
        <v>305</v>
      </c>
      <c r="G985" t="s">
        <v>110</v>
      </c>
      <c r="H985" t="s">
        <v>38</v>
      </c>
      <c r="I985" t="s">
        <v>2135</v>
      </c>
      <c r="J985" t="s">
        <v>17</v>
      </c>
      <c r="K985" t="s">
        <v>51</v>
      </c>
      <c r="L985" t="s">
        <v>53</v>
      </c>
      <c r="M985">
        <v>325.86</v>
      </c>
      <c r="N985">
        <v>2</v>
      </c>
      <c r="O985">
        <v>0</v>
      </c>
      <c r="P985">
        <v>149.8956</v>
      </c>
      <c r="Q985" s="1">
        <v>0.46</v>
      </c>
      <c r="R985" t="s">
        <v>4</v>
      </c>
      <c r="S985" t="s">
        <v>394</v>
      </c>
    </row>
    <row r="986" spans="1:19" x14ac:dyDescent="0.3">
      <c r="A986">
        <v>4544</v>
      </c>
      <c r="B986" t="s">
        <v>2136</v>
      </c>
      <c r="C986">
        <v>2015</v>
      </c>
      <c r="D986" t="s">
        <v>425</v>
      </c>
      <c r="E986" t="s">
        <v>6</v>
      </c>
      <c r="F986" t="s">
        <v>70</v>
      </c>
      <c r="G986" t="s">
        <v>56</v>
      </c>
      <c r="H986" t="s">
        <v>38</v>
      </c>
      <c r="I986" t="s">
        <v>2137</v>
      </c>
      <c r="J986" t="s">
        <v>10</v>
      </c>
      <c r="K986" t="s">
        <v>12</v>
      </c>
      <c r="L986" t="s">
        <v>5</v>
      </c>
      <c r="M986">
        <v>383.60700000000003</v>
      </c>
      <c r="N986">
        <v>9</v>
      </c>
      <c r="O986">
        <v>0.3</v>
      </c>
      <c r="P986">
        <v>-5.4801000000000002</v>
      </c>
      <c r="Q986" s="1">
        <v>-1.4285714285714299E-2</v>
      </c>
      <c r="R986" t="s">
        <v>401</v>
      </c>
      <c r="S986" t="s">
        <v>402</v>
      </c>
    </row>
    <row r="987" spans="1:19" x14ac:dyDescent="0.3">
      <c r="A987">
        <v>4552</v>
      </c>
      <c r="B987" t="s">
        <v>2138</v>
      </c>
      <c r="C987">
        <v>2014</v>
      </c>
      <c r="D987" t="s">
        <v>425</v>
      </c>
      <c r="E987" t="s">
        <v>13</v>
      </c>
      <c r="F987" t="s">
        <v>14</v>
      </c>
      <c r="G987" t="s">
        <v>15</v>
      </c>
      <c r="H987" t="s">
        <v>16</v>
      </c>
      <c r="I987" t="s">
        <v>2139</v>
      </c>
      <c r="J987" t="s">
        <v>10</v>
      </c>
      <c r="K987" t="s">
        <v>22</v>
      </c>
      <c r="L987" t="s">
        <v>19</v>
      </c>
      <c r="M987">
        <v>351.21600000000001</v>
      </c>
      <c r="N987">
        <v>3</v>
      </c>
      <c r="O987">
        <v>0.2</v>
      </c>
      <c r="P987">
        <v>4.3902000000000001</v>
      </c>
      <c r="Q987" s="1">
        <v>1.2500000000000001E-2</v>
      </c>
      <c r="R987" t="s">
        <v>4</v>
      </c>
      <c r="S987" t="s">
        <v>408</v>
      </c>
    </row>
    <row r="988" spans="1:19" x14ac:dyDescent="0.3">
      <c r="A988">
        <v>4564</v>
      </c>
      <c r="B988" t="s">
        <v>2140</v>
      </c>
      <c r="C988">
        <v>2017</v>
      </c>
      <c r="D988" t="s">
        <v>428</v>
      </c>
      <c r="E988" t="s">
        <v>35</v>
      </c>
      <c r="F988" t="s">
        <v>362</v>
      </c>
      <c r="G988" t="s">
        <v>21</v>
      </c>
      <c r="H988" t="s">
        <v>9</v>
      </c>
      <c r="I988" t="s">
        <v>2141</v>
      </c>
      <c r="J988" t="s">
        <v>10</v>
      </c>
      <c r="K988" t="s">
        <v>12</v>
      </c>
      <c r="L988" t="s">
        <v>19</v>
      </c>
      <c r="M988">
        <v>419.13600000000002</v>
      </c>
      <c r="N988">
        <v>4</v>
      </c>
      <c r="O988">
        <v>0.2</v>
      </c>
      <c r="P988">
        <v>-57.6312</v>
      </c>
      <c r="Q988" s="1">
        <v>-0.13750000000000001</v>
      </c>
      <c r="R988" t="s">
        <v>401</v>
      </c>
      <c r="S988" t="s">
        <v>408</v>
      </c>
    </row>
    <row r="989" spans="1:19" x14ac:dyDescent="0.3">
      <c r="A989">
        <v>4570</v>
      </c>
      <c r="B989" t="s">
        <v>2142</v>
      </c>
      <c r="C989">
        <v>2014</v>
      </c>
      <c r="D989" t="s">
        <v>406</v>
      </c>
      <c r="E989" t="s">
        <v>35</v>
      </c>
      <c r="F989" t="s">
        <v>108</v>
      </c>
      <c r="G989" t="s">
        <v>15</v>
      </c>
      <c r="H989" t="s">
        <v>16</v>
      </c>
      <c r="I989" t="s">
        <v>1032</v>
      </c>
      <c r="J989" t="s">
        <v>10</v>
      </c>
      <c r="K989" t="s">
        <v>24</v>
      </c>
      <c r="L989" t="s">
        <v>5</v>
      </c>
      <c r="M989">
        <v>76.14</v>
      </c>
      <c r="N989">
        <v>3</v>
      </c>
      <c r="O989">
        <v>0</v>
      </c>
      <c r="P989">
        <v>26.649000000000001</v>
      </c>
      <c r="Q989" s="1">
        <v>0.35</v>
      </c>
      <c r="R989" t="s">
        <v>4</v>
      </c>
      <c r="S989" t="s">
        <v>394</v>
      </c>
    </row>
    <row r="990" spans="1:19" x14ac:dyDescent="0.3">
      <c r="A990">
        <v>4579</v>
      </c>
      <c r="B990" t="s">
        <v>2143</v>
      </c>
      <c r="C990">
        <v>2015</v>
      </c>
      <c r="D990" t="s">
        <v>396</v>
      </c>
      <c r="E990" t="s">
        <v>35</v>
      </c>
      <c r="F990" t="s">
        <v>370</v>
      </c>
      <c r="G990" t="s">
        <v>74</v>
      </c>
      <c r="H990" t="s">
        <v>9</v>
      </c>
      <c r="I990" t="s">
        <v>793</v>
      </c>
      <c r="J990" t="s">
        <v>17</v>
      </c>
      <c r="K990" t="s">
        <v>28</v>
      </c>
      <c r="L990" t="s">
        <v>19</v>
      </c>
      <c r="M990">
        <v>113.1</v>
      </c>
      <c r="N990">
        <v>3</v>
      </c>
      <c r="O990">
        <v>0</v>
      </c>
      <c r="P990">
        <v>56.55</v>
      </c>
      <c r="Q990" s="1">
        <v>0.5</v>
      </c>
      <c r="R990" t="s">
        <v>4</v>
      </c>
      <c r="S990" t="s">
        <v>394</v>
      </c>
    </row>
    <row r="991" spans="1:19" x14ac:dyDescent="0.3">
      <c r="A991">
        <v>4603</v>
      </c>
      <c r="B991" t="s">
        <v>2144</v>
      </c>
      <c r="C991">
        <v>2015</v>
      </c>
      <c r="D991" t="s">
        <v>417</v>
      </c>
      <c r="E991" t="s">
        <v>35</v>
      </c>
      <c r="F991" t="s">
        <v>179</v>
      </c>
      <c r="G991" t="s">
        <v>31</v>
      </c>
      <c r="H991" t="s">
        <v>9</v>
      </c>
      <c r="I991" t="s">
        <v>1668</v>
      </c>
      <c r="J991" t="s">
        <v>17</v>
      </c>
      <c r="K991" t="s">
        <v>32</v>
      </c>
      <c r="L991" t="s">
        <v>5</v>
      </c>
      <c r="M991">
        <v>18.271999999999998</v>
      </c>
      <c r="N991">
        <v>1</v>
      </c>
      <c r="O991">
        <v>0.2</v>
      </c>
      <c r="P991">
        <v>5.9383999999999997</v>
      </c>
      <c r="Q991" s="1">
        <v>0.32500000000000001</v>
      </c>
      <c r="R991" t="s">
        <v>4</v>
      </c>
      <c r="S991" t="s">
        <v>408</v>
      </c>
    </row>
    <row r="992" spans="1:19" x14ac:dyDescent="0.3">
      <c r="A992">
        <v>4612</v>
      </c>
      <c r="B992" t="s">
        <v>2145</v>
      </c>
      <c r="C992">
        <v>2016</v>
      </c>
      <c r="D992" t="s">
        <v>430</v>
      </c>
      <c r="E992" t="s">
        <v>13</v>
      </c>
      <c r="F992" t="s">
        <v>258</v>
      </c>
      <c r="G992" t="s">
        <v>175</v>
      </c>
      <c r="H992" t="s">
        <v>9</v>
      </c>
      <c r="I992" t="s">
        <v>2146</v>
      </c>
      <c r="J992" t="s">
        <v>17</v>
      </c>
      <c r="K992" t="s">
        <v>28</v>
      </c>
      <c r="L992" t="s">
        <v>5</v>
      </c>
      <c r="M992">
        <v>31.36</v>
      </c>
      <c r="N992">
        <v>4</v>
      </c>
      <c r="O992">
        <v>0</v>
      </c>
      <c r="P992">
        <v>15.68</v>
      </c>
      <c r="Q992" s="1">
        <v>0.5</v>
      </c>
      <c r="R992" t="s">
        <v>4</v>
      </c>
      <c r="S992" t="s">
        <v>394</v>
      </c>
    </row>
    <row r="993" spans="1:19" x14ac:dyDescent="0.3">
      <c r="A993">
        <v>4644</v>
      </c>
      <c r="B993" t="s">
        <v>2147</v>
      </c>
      <c r="C993">
        <v>2015</v>
      </c>
      <c r="D993" t="s">
        <v>420</v>
      </c>
      <c r="E993" t="s">
        <v>6</v>
      </c>
      <c r="F993" t="s">
        <v>33</v>
      </c>
      <c r="G993" t="s">
        <v>34</v>
      </c>
      <c r="H993" t="s">
        <v>16</v>
      </c>
      <c r="I993" t="s">
        <v>2148</v>
      </c>
      <c r="J993" t="s">
        <v>17</v>
      </c>
      <c r="K993" t="s">
        <v>28</v>
      </c>
      <c r="L993" t="s">
        <v>19</v>
      </c>
      <c r="M993">
        <v>6.3680000000000003</v>
      </c>
      <c r="N993">
        <v>2</v>
      </c>
      <c r="O993">
        <v>0.2</v>
      </c>
      <c r="P993">
        <v>2.1492</v>
      </c>
      <c r="Q993" s="1">
        <v>0.33750000000000002</v>
      </c>
      <c r="R993" t="s">
        <v>4</v>
      </c>
      <c r="S993" t="s">
        <v>408</v>
      </c>
    </row>
    <row r="994" spans="1:19" x14ac:dyDescent="0.3">
      <c r="A994">
        <v>4647</v>
      </c>
      <c r="B994" t="s">
        <v>2149</v>
      </c>
      <c r="C994">
        <v>2014</v>
      </c>
      <c r="D994" t="s">
        <v>417</v>
      </c>
      <c r="E994" t="s">
        <v>13</v>
      </c>
      <c r="F994" t="s">
        <v>172</v>
      </c>
      <c r="G994" t="s">
        <v>74</v>
      </c>
      <c r="H994" t="s">
        <v>9</v>
      </c>
      <c r="I994" t="s">
        <v>2150</v>
      </c>
      <c r="J994" t="s">
        <v>17</v>
      </c>
      <c r="K994" t="s">
        <v>32</v>
      </c>
      <c r="L994" t="s">
        <v>19</v>
      </c>
      <c r="M994">
        <v>13.62</v>
      </c>
      <c r="N994">
        <v>3</v>
      </c>
      <c r="O994">
        <v>0</v>
      </c>
      <c r="P994">
        <v>6.1289999999999996</v>
      </c>
      <c r="Q994" s="1">
        <v>0.45</v>
      </c>
      <c r="R994" t="s">
        <v>4</v>
      </c>
      <c r="S994" t="s">
        <v>394</v>
      </c>
    </row>
    <row r="995" spans="1:19" x14ac:dyDescent="0.3">
      <c r="A995">
        <v>4648</v>
      </c>
      <c r="B995" t="s">
        <v>2151</v>
      </c>
      <c r="C995">
        <v>2016</v>
      </c>
      <c r="D995" t="s">
        <v>406</v>
      </c>
      <c r="E995" t="s">
        <v>35</v>
      </c>
      <c r="F995" t="s">
        <v>66</v>
      </c>
      <c r="G995" t="s">
        <v>67</v>
      </c>
      <c r="H995" t="s">
        <v>48</v>
      </c>
      <c r="I995" t="s">
        <v>2152</v>
      </c>
      <c r="J995" t="s">
        <v>10</v>
      </c>
      <c r="K995" t="s">
        <v>12</v>
      </c>
      <c r="L995" t="s">
        <v>19</v>
      </c>
      <c r="M995">
        <v>434.64600000000002</v>
      </c>
      <c r="N995">
        <v>3</v>
      </c>
      <c r="O995">
        <v>0.1</v>
      </c>
      <c r="P995">
        <v>62.782200000000003</v>
      </c>
      <c r="Q995" s="1">
        <v>0.14444444444444399</v>
      </c>
      <c r="R995" t="s">
        <v>4</v>
      </c>
      <c r="S995" t="s">
        <v>394</v>
      </c>
    </row>
    <row r="996" spans="1:19" x14ac:dyDescent="0.3">
      <c r="A996">
        <v>4667</v>
      </c>
      <c r="B996" t="s">
        <v>2153</v>
      </c>
      <c r="C996">
        <v>2016</v>
      </c>
      <c r="D996" t="s">
        <v>430</v>
      </c>
      <c r="E996" t="s">
        <v>13</v>
      </c>
      <c r="F996" t="s">
        <v>33</v>
      </c>
      <c r="G996" t="s">
        <v>34</v>
      </c>
      <c r="H996" t="s">
        <v>16</v>
      </c>
      <c r="I996" t="s">
        <v>2154</v>
      </c>
      <c r="J996" t="s">
        <v>10</v>
      </c>
      <c r="K996" t="s">
        <v>24</v>
      </c>
      <c r="L996" t="s">
        <v>19</v>
      </c>
      <c r="M996">
        <v>79.92</v>
      </c>
      <c r="N996">
        <v>4</v>
      </c>
      <c r="O996">
        <v>0</v>
      </c>
      <c r="P996">
        <v>34.365600000000001</v>
      </c>
      <c r="Q996" s="1">
        <v>0.43</v>
      </c>
      <c r="R996" t="s">
        <v>4</v>
      </c>
      <c r="S996" t="s">
        <v>394</v>
      </c>
    </row>
    <row r="997" spans="1:19" x14ac:dyDescent="0.3">
      <c r="A997">
        <v>4672</v>
      </c>
      <c r="B997" t="s">
        <v>2155</v>
      </c>
      <c r="C997">
        <v>2016</v>
      </c>
      <c r="D997" t="s">
        <v>425</v>
      </c>
      <c r="E997" t="s">
        <v>6</v>
      </c>
      <c r="F997" t="s">
        <v>130</v>
      </c>
      <c r="G997" t="s">
        <v>61</v>
      </c>
      <c r="H997" t="s">
        <v>38</v>
      </c>
      <c r="I997" t="s">
        <v>2156</v>
      </c>
      <c r="J997" t="s">
        <v>17</v>
      </c>
      <c r="K997" t="s">
        <v>29</v>
      </c>
      <c r="L997" t="s">
        <v>19</v>
      </c>
      <c r="M997">
        <v>283.14</v>
      </c>
      <c r="N997">
        <v>4</v>
      </c>
      <c r="O997">
        <v>0.1</v>
      </c>
      <c r="P997">
        <v>72.358000000000004</v>
      </c>
      <c r="Q997" s="1">
        <v>0.25555555555555598</v>
      </c>
      <c r="R997" t="s">
        <v>4</v>
      </c>
      <c r="S997" t="s">
        <v>394</v>
      </c>
    </row>
    <row r="998" spans="1:19" x14ac:dyDescent="0.3">
      <c r="A998">
        <v>4676</v>
      </c>
      <c r="B998" t="s">
        <v>2157</v>
      </c>
      <c r="C998">
        <v>2017</v>
      </c>
      <c r="D998" t="s">
        <v>447</v>
      </c>
      <c r="E998" t="s">
        <v>6</v>
      </c>
      <c r="F998" t="s">
        <v>46</v>
      </c>
      <c r="G998" t="s">
        <v>47</v>
      </c>
      <c r="H998" t="s">
        <v>48</v>
      </c>
      <c r="I998" t="s">
        <v>1845</v>
      </c>
      <c r="J998" t="s">
        <v>10</v>
      </c>
      <c r="K998" t="s">
        <v>24</v>
      </c>
      <c r="L998" t="s">
        <v>5</v>
      </c>
      <c r="M998">
        <v>15.007999999999999</v>
      </c>
      <c r="N998">
        <v>2</v>
      </c>
      <c r="O998">
        <v>0.2</v>
      </c>
      <c r="P998">
        <v>1.5007999999999999</v>
      </c>
      <c r="Q998" s="1">
        <v>0.1</v>
      </c>
      <c r="R998" t="s">
        <v>4</v>
      </c>
      <c r="S998" t="s">
        <v>408</v>
      </c>
    </row>
    <row r="999" spans="1:19" x14ac:dyDescent="0.3">
      <c r="A999">
        <v>4695</v>
      </c>
      <c r="B999" t="s">
        <v>2158</v>
      </c>
      <c r="C999">
        <v>2015</v>
      </c>
      <c r="D999" t="s">
        <v>410</v>
      </c>
      <c r="E999" t="s">
        <v>6</v>
      </c>
      <c r="F999" t="s">
        <v>130</v>
      </c>
      <c r="G999" t="s">
        <v>61</v>
      </c>
      <c r="H999" t="s">
        <v>38</v>
      </c>
      <c r="I999" t="s">
        <v>1452</v>
      </c>
      <c r="J999" t="s">
        <v>17</v>
      </c>
      <c r="K999" t="s">
        <v>28</v>
      </c>
      <c r="L999" t="s">
        <v>158</v>
      </c>
      <c r="M999">
        <v>29.52</v>
      </c>
      <c r="N999">
        <v>4</v>
      </c>
      <c r="O999">
        <v>0</v>
      </c>
      <c r="P999">
        <v>14.4648</v>
      </c>
      <c r="Q999" s="1">
        <v>0.49</v>
      </c>
      <c r="R999" t="s">
        <v>4</v>
      </c>
      <c r="S999" t="s">
        <v>394</v>
      </c>
    </row>
    <row r="1000" spans="1:19" x14ac:dyDescent="0.3">
      <c r="A1000">
        <v>4719</v>
      </c>
      <c r="B1000" t="s">
        <v>2159</v>
      </c>
      <c r="C1000">
        <v>2015</v>
      </c>
      <c r="D1000" t="s">
        <v>399</v>
      </c>
      <c r="E1000" t="s">
        <v>13</v>
      </c>
      <c r="F1000" t="s">
        <v>43</v>
      </c>
      <c r="G1000" t="s">
        <v>15</v>
      </c>
      <c r="H1000" t="s">
        <v>16</v>
      </c>
      <c r="I1000" t="s">
        <v>1079</v>
      </c>
      <c r="J1000" t="s">
        <v>17</v>
      </c>
      <c r="K1000" t="s">
        <v>32</v>
      </c>
      <c r="L1000" t="s">
        <v>53</v>
      </c>
      <c r="M1000">
        <v>45.36</v>
      </c>
      <c r="N1000">
        <v>7</v>
      </c>
      <c r="O1000">
        <v>0</v>
      </c>
      <c r="P1000">
        <v>21.7728</v>
      </c>
      <c r="Q1000" s="1">
        <v>0.48</v>
      </c>
      <c r="R1000" t="s">
        <v>4</v>
      </c>
      <c r="S1000" t="s">
        <v>394</v>
      </c>
    </row>
    <row r="1001" spans="1:19" x14ac:dyDescent="0.3">
      <c r="A1001">
        <v>4766</v>
      </c>
      <c r="B1001" t="s">
        <v>2160</v>
      </c>
      <c r="C1001">
        <v>2015</v>
      </c>
      <c r="D1001" t="s">
        <v>406</v>
      </c>
      <c r="E1001" t="s">
        <v>35</v>
      </c>
      <c r="F1001" t="s">
        <v>66</v>
      </c>
      <c r="G1001" t="s">
        <v>67</v>
      </c>
      <c r="H1001" t="s">
        <v>48</v>
      </c>
      <c r="I1001" t="s">
        <v>2161</v>
      </c>
      <c r="J1001" t="s">
        <v>17</v>
      </c>
      <c r="K1001" t="s">
        <v>25</v>
      </c>
      <c r="L1001" t="s">
        <v>19</v>
      </c>
      <c r="M1001">
        <v>25.99</v>
      </c>
      <c r="N1001">
        <v>1</v>
      </c>
      <c r="O1001">
        <v>0</v>
      </c>
      <c r="P1001">
        <v>7.5370999999999997</v>
      </c>
      <c r="Q1001" s="1">
        <v>0.28999999999999998</v>
      </c>
      <c r="R1001" t="s">
        <v>4</v>
      </c>
      <c r="S1001" t="s">
        <v>394</v>
      </c>
    </row>
    <row r="1002" spans="1:19" x14ac:dyDescent="0.3">
      <c r="A1002">
        <v>4767</v>
      </c>
      <c r="B1002" t="s">
        <v>2162</v>
      </c>
      <c r="C1002">
        <v>2015</v>
      </c>
      <c r="D1002" t="s">
        <v>447</v>
      </c>
      <c r="E1002" t="s">
        <v>13</v>
      </c>
      <c r="F1002" t="s">
        <v>113</v>
      </c>
      <c r="G1002" t="s">
        <v>37</v>
      </c>
      <c r="H1002" t="s">
        <v>38</v>
      </c>
      <c r="I1002" t="s">
        <v>1070</v>
      </c>
      <c r="J1002" t="s">
        <v>26</v>
      </c>
      <c r="K1002" t="s">
        <v>50</v>
      </c>
      <c r="L1002" t="s">
        <v>53</v>
      </c>
      <c r="M1002">
        <v>113.52</v>
      </c>
      <c r="N1002">
        <v>5</v>
      </c>
      <c r="O1002">
        <v>0.2</v>
      </c>
      <c r="P1002">
        <v>29.798999999999999</v>
      </c>
      <c r="Q1002" s="1">
        <v>0.26250000000000001</v>
      </c>
      <c r="R1002" t="s">
        <v>4</v>
      </c>
      <c r="S1002" t="s">
        <v>408</v>
      </c>
    </row>
    <row r="1003" spans="1:19" x14ac:dyDescent="0.3">
      <c r="A1003">
        <v>4780</v>
      </c>
      <c r="B1003" t="s">
        <v>2163</v>
      </c>
      <c r="C1003">
        <v>2014</v>
      </c>
      <c r="D1003" t="s">
        <v>425</v>
      </c>
      <c r="E1003" t="s">
        <v>6</v>
      </c>
      <c r="F1003" t="s">
        <v>257</v>
      </c>
      <c r="G1003" t="s">
        <v>67</v>
      </c>
      <c r="H1003" t="s">
        <v>48</v>
      </c>
      <c r="I1003" t="s">
        <v>1877</v>
      </c>
      <c r="J1003" t="s">
        <v>10</v>
      </c>
      <c r="K1003" t="s">
        <v>12</v>
      </c>
      <c r="L1003" t="s">
        <v>53</v>
      </c>
      <c r="M1003">
        <v>63.881999999999998</v>
      </c>
      <c r="N1003">
        <v>1</v>
      </c>
      <c r="O1003">
        <v>0.1</v>
      </c>
      <c r="P1003">
        <v>10.647</v>
      </c>
      <c r="Q1003" s="1">
        <v>0.16666666666666699</v>
      </c>
      <c r="R1003" t="s">
        <v>4</v>
      </c>
      <c r="S1003" t="s">
        <v>394</v>
      </c>
    </row>
    <row r="1004" spans="1:19" x14ac:dyDescent="0.3">
      <c r="A1004">
        <v>4804</v>
      </c>
      <c r="B1004" t="s">
        <v>2164</v>
      </c>
      <c r="C1004">
        <v>2017</v>
      </c>
      <c r="D1004" t="s">
        <v>425</v>
      </c>
      <c r="E1004" t="s">
        <v>6</v>
      </c>
      <c r="F1004" t="s">
        <v>46</v>
      </c>
      <c r="G1004" t="s">
        <v>47</v>
      </c>
      <c r="H1004" t="s">
        <v>48</v>
      </c>
      <c r="I1004" t="s">
        <v>2165</v>
      </c>
      <c r="J1004" t="s">
        <v>26</v>
      </c>
      <c r="K1004" t="s">
        <v>27</v>
      </c>
      <c r="L1004" t="s">
        <v>5</v>
      </c>
      <c r="M1004">
        <v>39.594000000000001</v>
      </c>
      <c r="N1004">
        <v>1</v>
      </c>
      <c r="O1004">
        <v>0.4</v>
      </c>
      <c r="P1004">
        <v>-7.2588999999999997</v>
      </c>
      <c r="Q1004" s="1">
        <v>-0.18333333333333299</v>
      </c>
      <c r="R1004" t="s">
        <v>401</v>
      </c>
      <c r="S1004" t="s">
        <v>402</v>
      </c>
    </row>
    <row r="1005" spans="1:19" x14ac:dyDescent="0.3">
      <c r="A1005">
        <v>4821</v>
      </c>
      <c r="B1005" t="s">
        <v>2166</v>
      </c>
      <c r="C1005">
        <v>2015</v>
      </c>
      <c r="D1005" t="s">
        <v>406</v>
      </c>
      <c r="E1005" t="s">
        <v>6</v>
      </c>
      <c r="F1005" t="s">
        <v>113</v>
      </c>
      <c r="G1005" t="s">
        <v>37</v>
      </c>
      <c r="H1005" t="s">
        <v>38</v>
      </c>
      <c r="I1005" t="s">
        <v>2167</v>
      </c>
      <c r="J1005" t="s">
        <v>17</v>
      </c>
      <c r="K1005" t="s">
        <v>29</v>
      </c>
      <c r="L1005" t="s">
        <v>19</v>
      </c>
      <c r="M1005">
        <v>463.24799999999999</v>
      </c>
      <c r="N1005">
        <v>8</v>
      </c>
      <c r="O1005">
        <v>0.8</v>
      </c>
      <c r="P1005">
        <v>-1181.2824000000001</v>
      </c>
      <c r="Q1005" s="1">
        <v>-2.5499999999999998</v>
      </c>
      <c r="R1005" t="s">
        <v>401</v>
      </c>
      <c r="S1005" t="s">
        <v>402</v>
      </c>
    </row>
    <row r="1006" spans="1:19" x14ac:dyDescent="0.3">
      <c r="A1006">
        <v>4857</v>
      </c>
      <c r="B1006" t="s">
        <v>2168</v>
      </c>
      <c r="C1006">
        <v>2015</v>
      </c>
      <c r="D1006" t="s">
        <v>430</v>
      </c>
      <c r="E1006" t="s">
        <v>6</v>
      </c>
      <c r="F1006" t="s">
        <v>14</v>
      </c>
      <c r="G1006" t="s">
        <v>15</v>
      </c>
      <c r="H1006" t="s">
        <v>16</v>
      </c>
      <c r="I1006" t="s">
        <v>1174</v>
      </c>
      <c r="J1006" t="s">
        <v>17</v>
      </c>
      <c r="K1006" t="s">
        <v>28</v>
      </c>
      <c r="L1006" t="s">
        <v>19</v>
      </c>
      <c r="M1006">
        <v>70.007999999999996</v>
      </c>
      <c r="N1006">
        <v>3</v>
      </c>
      <c r="O1006">
        <v>0.2</v>
      </c>
      <c r="P1006">
        <v>24.502800000000001</v>
      </c>
      <c r="Q1006" s="1">
        <v>0.35</v>
      </c>
      <c r="R1006" t="s">
        <v>4</v>
      </c>
      <c r="S1006" t="s">
        <v>408</v>
      </c>
    </row>
    <row r="1007" spans="1:19" x14ac:dyDescent="0.3">
      <c r="A1007">
        <v>4906</v>
      </c>
      <c r="B1007" t="s">
        <v>2169</v>
      </c>
      <c r="C1007">
        <v>2014</v>
      </c>
      <c r="D1007" t="s">
        <v>399</v>
      </c>
      <c r="E1007" t="s">
        <v>13</v>
      </c>
      <c r="F1007" t="s">
        <v>30</v>
      </c>
      <c r="G1007" t="s">
        <v>230</v>
      </c>
      <c r="H1007" t="s">
        <v>48</v>
      </c>
      <c r="I1007" t="s">
        <v>2170</v>
      </c>
      <c r="J1007" t="s">
        <v>17</v>
      </c>
      <c r="K1007" t="s">
        <v>28</v>
      </c>
      <c r="L1007" t="s">
        <v>5</v>
      </c>
      <c r="M1007">
        <v>22.92</v>
      </c>
      <c r="N1007">
        <v>4</v>
      </c>
      <c r="O1007">
        <v>0</v>
      </c>
      <c r="P1007">
        <v>11.0016</v>
      </c>
      <c r="Q1007" s="1">
        <v>0.48</v>
      </c>
      <c r="R1007" t="s">
        <v>4</v>
      </c>
      <c r="S1007" t="s">
        <v>394</v>
      </c>
    </row>
    <row r="1008" spans="1:19" x14ac:dyDescent="0.3">
      <c r="A1008">
        <v>4919</v>
      </c>
      <c r="B1008" t="s">
        <v>2171</v>
      </c>
      <c r="C1008">
        <v>2016</v>
      </c>
      <c r="D1008" t="s">
        <v>430</v>
      </c>
      <c r="E1008" t="s">
        <v>13</v>
      </c>
      <c r="F1008" t="s">
        <v>373</v>
      </c>
      <c r="G1008" t="s">
        <v>231</v>
      </c>
      <c r="H1008" t="s">
        <v>48</v>
      </c>
      <c r="I1008" t="s">
        <v>2172</v>
      </c>
      <c r="J1008" t="s">
        <v>10</v>
      </c>
      <c r="K1008" t="s">
        <v>11</v>
      </c>
      <c r="L1008" t="s">
        <v>19</v>
      </c>
      <c r="M1008">
        <v>173.94</v>
      </c>
      <c r="N1008">
        <v>3</v>
      </c>
      <c r="O1008">
        <v>0</v>
      </c>
      <c r="P1008">
        <v>38.266800000000003</v>
      </c>
      <c r="Q1008" s="1">
        <v>0.22</v>
      </c>
      <c r="R1008" t="s">
        <v>4</v>
      </c>
      <c r="S1008" t="s">
        <v>394</v>
      </c>
    </row>
    <row r="1009" spans="1:19" x14ac:dyDescent="0.3">
      <c r="A1009">
        <v>4936</v>
      </c>
      <c r="B1009" t="s">
        <v>2173</v>
      </c>
      <c r="C1009">
        <v>2015</v>
      </c>
      <c r="D1009" t="s">
        <v>447</v>
      </c>
      <c r="E1009" t="s">
        <v>13</v>
      </c>
      <c r="F1009" t="s">
        <v>374</v>
      </c>
      <c r="G1009" t="s">
        <v>42</v>
      </c>
      <c r="H1009" t="s">
        <v>16</v>
      </c>
      <c r="I1009" t="s">
        <v>2174</v>
      </c>
      <c r="J1009" t="s">
        <v>26</v>
      </c>
      <c r="K1009" t="s">
        <v>27</v>
      </c>
      <c r="L1009" t="s">
        <v>19</v>
      </c>
      <c r="M1009">
        <v>16.776</v>
      </c>
      <c r="N1009">
        <v>3</v>
      </c>
      <c r="O1009">
        <v>0.2</v>
      </c>
      <c r="P1009">
        <v>1.6776</v>
      </c>
      <c r="Q1009" s="1">
        <v>0.1</v>
      </c>
      <c r="R1009" t="s">
        <v>4</v>
      </c>
      <c r="S1009" t="s">
        <v>408</v>
      </c>
    </row>
    <row r="1010" spans="1:19" x14ac:dyDescent="0.3">
      <c r="A1010">
        <v>4937</v>
      </c>
      <c r="B1010" t="s">
        <v>2175</v>
      </c>
      <c r="C1010">
        <v>2017</v>
      </c>
      <c r="D1010" t="s">
        <v>430</v>
      </c>
      <c r="E1010" t="s">
        <v>35</v>
      </c>
      <c r="F1010" t="s">
        <v>375</v>
      </c>
      <c r="G1010" t="s">
        <v>79</v>
      </c>
      <c r="H1010" t="s">
        <v>9</v>
      </c>
      <c r="I1010" t="s">
        <v>2176</v>
      </c>
      <c r="J1010" t="s">
        <v>17</v>
      </c>
      <c r="K1010" t="s">
        <v>28</v>
      </c>
      <c r="L1010" t="s">
        <v>19</v>
      </c>
      <c r="M1010">
        <v>33.74</v>
      </c>
      <c r="N1010">
        <v>7</v>
      </c>
      <c r="O1010">
        <v>0</v>
      </c>
      <c r="P1010">
        <v>15.5204</v>
      </c>
      <c r="Q1010" s="1">
        <v>0.46</v>
      </c>
      <c r="R1010" t="s">
        <v>4</v>
      </c>
      <c r="S1010" t="s">
        <v>394</v>
      </c>
    </row>
    <row r="1011" spans="1:19" x14ac:dyDescent="0.3">
      <c r="A1011">
        <v>4962</v>
      </c>
      <c r="B1011" t="s">
        <v>2177</v>
      </c>
      <c r="C1011">
        <v>2014</v>
      </c>
      <c r="D1011" t="s">
        <v>447</v>
      </c>
      <c r="E1011" t="s">
        <v>6</v>
      </c>
      <c r="F1011" t="s">
        <v>33</v>
      </c>
      <c r="G1011" t="s">
        <v>34</v>
      </c>
      <c r="H1011" t="s">
        <v>16</v>
      </c>
      <c r="I1011" t="s">
        <v>2137</v>
      </c>
      <c r="J1011" t="s">
        <v>10</v>
      </c>
      <c r="K1011" t="s">
        <v>12</v>
      </c>
      <c r="L1011" t="s">
        <v>53</v>
      </c>
      <c r="M1011">
        <v>48.712000000000003</v>
      </c>
      <c r="N1011">
        <v>1</v>
      </c>
      <c r="O1011">
        <v>0.2</v>
      </c>
      <c r="P1011">
        <v>5.4801000000000002</v>
      </c>
      <c r="Q1011" s="1">
        <v>0.1125</v>
      </c>
      <c r="R1011" t="s">
        <v>4</v>
      </c>
      <c r="S1011" t="s">
        <v>408</v>
      </c>
    </row>
    <row r="1012" spans="1:19" x14ac:dyDescent="0.3">
      <c r="A1012">
        <v>4986</v>
      </c>
      <c r="B1012" t="s">
        <v>2178</v>
      </c>
      <c r="C1012">
        <v>2014</v>
      </c>
      <c r="D1012" t="s">
        <v>428</v>
      </c>
      <c r="E1012" t="s">
        <v>6</v>
      </c>
      <c r="F1012" t="s">
        <v>66</v>
      </c>
      <c r="G1012" t="s">
        <v>67</v>
      </c>
      <c r="H1012" t="s">
        <v>48</v>
      </c>
      <c r="I1012" t="s">
        <v>2179</v>
      </c>
      <c r="J1012" t="s">
        <v>17</v>
      </c>
      <c r="K1012" t="s">
        <v>18</v>
      </c>
      <c r="L1012" t="s">
        <v>158</v>
      </c>
      <c r="M1012">
        <v>14.4</v>
      </c>
      <c r="N1012">
        <v>5</v>
      </c>
      <c r="O1012">
        <v>0</v>
      </c>
      <c r="P1012">
        <v>7.056</v>
      </c>
      <c r="Q1012" s="1">
        <v>0.49</v>
      </c>
      <c r="R1012" t="s">
        <v>4</v>
      </c>
      <c r="S1012" t="s">
        <v>394</v>
      </c>
    </row>
    <row r="1013" spans="1:19" x14ac:dyDescent="0.3">
      <c r="A1013">
        <v>4999</v>
      </c>
      <c r="B1013" t="s">
        <v>2180</v>
      </c>
      <c r="C1013">
        <v>2016</v>
      </c>
      <c r="D1013" t="s">
        <v>430</v>
      </c>
      <c r="E1013" t="s">
        <v>35</v>
      </c>
      <c r="F1013" t="s">
        <v>14</v>
      </c>
      <c r="G1013" t="s">
        <v>15</v>
      </c>
      <c r="H1013" t="s">
        <v>16</v>
      </c>
      <c r="I1013" t="s">
        <v>2181</v>
      </c>
      <c r="J1013" t="s">
        <v>26</v>
      </c>
      <c r="K1013" t="s">
        <v>27</v>
      </c>
      <c r="L1013" t="s">
        <v>19</v>
      </c>
      <c r="M1013">
        <v>109.592</v>
      </c>
      <c r="N1013">
        <v>1</v>
      </c>
      <c r="O1013">
        <v>0.2</v>
      </c>
      <c r="P1013">
        <v>8.2194000000000003</v>
      </c>
      <c r="Q1013" s="1">
        <v>7.4999999999999997E-2</v>
      </c>
      <c r="R1013" t="s">
        <v>4</v>
      </c>
      <c r="S1013" t="s">
        <v>408</v>
      </c>
    </row>
    <row r="1014" spans="1:19" x14ac:dyDescent="0.3">
      <c r="A1014">
        <v>5002</v>
      </c>
      <c r="B1014" t="s">
        <v>2182</v>
      </c>
      <c r="C1014">
        <v>2016</v>
      </c>
      <c r="D1014" t="s">
        <v>417</v>
      </c>
      <c r="E1014" t="s">
        <v>35</v>
      </c>
      <c r="F1014" t="s">
        <v>327</v>
      </c>
      <c r="G1014" t="s">
        <v>74</v>
      </c>
      <c r="H1014" t="s">
        <v>9</v>
      </c>
      <c r="I1014" t="s">
        <v>2183</v>
      </c>
      <c r="J1014" t="s">
        <v>17</v>
      </c>
      <c r="K1014" t="s">
        <v>101</v>
      </c>
      <c r="L1014" t="s">
        <v>158</v>
      </c>
      <c r="M1014">
        <v>69.5</v>
      </c>
      <c r="N1014">
        <v>5</v>
      </c>
      <c r="O1014">
        <v>0</v>
      </c>
      <c r="P1014">
        <v>20.155000000000001</v>
      </c>
      <c r="Q1014" s="1">
        <v>0.28999999999999998</v>
      </c>
      <c r="R1014" t="s">
        <v>4</v>
      </c>
      <c r="S1014" t="s">
        <v>394</v>
      </c>
    </row>
    <row r="1015" spans="1:19" x14ac:dyDescent="0.3">
      <c r="A1015">
        <v>5005</v>
      </c>
      <c r="B1015" t="s">
        <v>2184</v>
      </c>
      <c r="C1015">
        <v>2014</v>
      </c>
      <c r="D1015" t="s">
        <v>406</v>
      </c>
      <c r="E1015" t="s">
        <v>6</v>
      </c>
      <c r="F1015" t="s">
        <v>75</v>
      </c>
      <c r="G1015" t="s">
        <v>175</v>
      </c>
      <c r="H1015" t="s">
        <v>9</v>
      </c>
      <c r="I1015" t="s">
        <v>2185</v>
      </c>
      <c r="J1015" t="s">
        <v>26</v>
      </c>
      <c r="K1015" t="s">
        <v>50</v>
      </c>
      <c r="L1015" t="s">
        <v>5</v>
      </c>
      <c r="M1015">
        <v>47.79</v>
      </c>
      <c r="N1015">
        <v>3</v>
      </c>
      <c r="O1015">
        <v>0</v>
      </c>
      <c r="P1015">
        <v>16.2486</v>
      </c>
      <c r="Q1015" s="1">
        <v>0.34</v>
      </c>
      <c r="R1015" t="s">
        <v>4</v>
      </c>
      <c r="S1015" t="s">
        <v>394</v>
      </c>
    </row>
    <row r="1016" spans="1:19" x14ac:dyDescent="0.3">
      <c r="A1016">
        <v>5057</v>
      </c>
      <c r="B1016" t="s">
        <v>2186</v>
      </c>
      <c r="C1016">
        <v>2015</v>
      </c>
      <c r="D1016" t="s">
        <v>428</v>
      </c>
      <c r="E1016" t="s">
        <v>6</v>
      </c>
      <c r="F1016" t="s">
        <v>376</v>
      </c>
      <c r="G1016" t="s">
        <v>15</v>
      </c>
      <c r="H1016" t="s">
        <v>16</v>
      </c>
      <c r="I1016" t="s">
        <v>2187</v>
      </c>
      <c r="J1016" t="s">
        <v>17</v>
      </c>
      <c r="K1016" t="s">
        <v>32</v>
      </c>
      <c r="L1016" t="s">
        <v>53</v>
      </c>
      <c r="M1016">
        <v>26.4</v>
      </c>
      <c r="N1016">
        <v>5</v>
      </c>
      <c r="O1016">
        <v>0</v>
      </c>
      <c r="P1016">
        <v>11.88</v>
      </c>
      <c r="Q1016" s="1">
        <v>0.45</v>
      </c>
      <c r="R1016" t="s">
        <v>4</v>
      </c>
      <c r="S1016" t="s">
        <v>394</v>
      </c>
    </row>
    <row r="1017" spans="1:19" x14ac:dyDescent="0.3">
      <c r="A1017">
        <v>5059</v>
      </c>
      <c r="B1017" t="s">
        <v>2188</v>
      </c>
      <c r="C1017">
        <v>2016</v>
      </c>
      <c r="D1017" t="s">
        <v>406</v>
      </c>
      <c r="E1017" t="s">
        <v>6</v>
      </c>
      <c r="F1017" t="s">
        <v>46</v>
      </c>
      <c r="G1017" t="s">
        <v>47</v>
      </c>
      <c r="H1017" t="s">
        <v>48</v>
      </c>
      <c r="I1017" t="s">
        <v>2189</v>
      </c>
      <c r="J1017" t="s">
        <v>17</v>
      </c>
      <c r="K1017" t="s">
        <v>28</v>
      </c>
      <c r="L1017" t="s">
        <v>19</v>
      </c>
      <c r="M1017">
        <v>99.846000000000004</v>
      </c>
      <c r="N1017">
        <v>9</v>
      </c>
      <c r="O1017">
        <v>0.7</v>
      </c>
      <c r="P1017">
        <v>-83.204999999999998</v>
      </c>
      <c r="Q1017" s="1">
        <v>-0.83333333333333304</v>
      </c>
      <c r="R1017" t="s">
        <v>401</v>
      </c>
      <c r="S1017" t="s">
        <v>402</v>
      </c>
    </row>
    <row r="1018" spans="1:19" x14ac:dyDescent="0.3">
      <c r="A1018">
        <v>5075</v>
      </c>
      <c r="B1018" t="s">
        <v>2190</v>
      </c>
      <c r="C1018">
        <v>2017</v>
      </c>
      <c r="D1018" t="s">
        <v>406</v>
      </c>
      <c r="E1018" t="s">
        <v>6</v>
      </c>
      <c r="F1018" t="s">
        <v>14</v>
      </c>
      <c r="G1018" t="s">
        <v>15</v>
      </c>
      <c r="H1018" t="s">
        <v>16</v>
      </c>
      <c r="I1018" t="s">
        <v>2191</v>
      </c>
      <c r="J1018" t="s">
        <v>17</v>
      </c>
      <c r="K1018" t="s">
        <v>28</v>
      </c>
      <c r="L1018" t="s">
        <v>5</v>
      </c>
      <c r="M1018">
        <v>13.904</v>
      </c>
      <c r="N1018">
        <v>2</v>
      </c>
      <c r="O1018">
        <v>0.2</v>
      </c>
      <c r="P1018">
        <v>4.5187999999999997</v>
      </c>
      <c r="Q1018" s="1">
        <v>0.32500000000000001</v>
      </c>
      <c r="R1018" t="s">
        <v>4</v>
      </c>
      <c r="S1018" t="s">
        <v>408</v>
      </c>
    </row>
    <row r="1019" spans="1:19" x14ac:dyDescent="0.3">
      <c r="A1019">
        <v>5076</v>
      </c>
      <c r="B1019" t="s">
        <v>2192</v>
      </c>
      <c r="C1019">
        <v>2014</v>
      </c>
      <c r="D1019" t="s">
        <v>406</v>
      </c>
      <c r="E1019" t="s">
        <v>6</v>
      </c>
      <c r="F1019" t="s">
        <v>52</v>
      </c>
      <c r="G1019" t="s">
        <v>37</v>
      </c>
      <c r="H1019" t="s">
        <v>38</v>
      </c>
      <c r="I1019" t="s">
        <v>611</v>
      </c>
      <c r="J1019" t="s">
        <v>10</v>
      </c>
      <c r="K1019" t="s">
        <v>22</v>
      </c>
      <c r="L1019" t="s">
        <v>5</v>
      </c>
      <c r="M1019">
        <v>744.1</v>
      </c>
      <c r="N1019">
        <v>5</v>
      </c>
      <c r="O1019">
        <v>0.3</v>
      </c>
      <c r="P1019">
        <v>-95.67</v>
      </c>
      <c r="Q1019" s="1">
        <v>-0.128571428571429</v>
      </c>
      <c r="R1019" t="s">
        <v>401</v>
      </c>
      <c r="S1019" t="s">
        <v>402</v>
      </c>
    </row>
    <row r="1020" spans="1:19" x14ac:dyDescent="0.3">
      <c r="A1020">
        <v>5090</v>
      </c>
      <c r="B1020" t="s">
        <v>2193</v>
      </c>
      <c r="C1020">
        <v>2017</v>
      </c>
      <c r="D1020" t="s">
        <v>420</v>
      </c>
      <c r="E1020" t="s">
        <v>13</v>
      </c>
      <c r="F1020" t="s">
        <v>377</v>
      </c>
      <c r="G1020" t="s">
        <v>89</v>
      </c>
      <c r="H1020" t="s">
        <v>16</v>
      </c>
      <c r="I1020" t="s">
        <v>2194</v>
      </c>
      <c r="J1020" t="s">
        <v>17</v>
      </c>
      <c r="K1020" t="s">
        <v>32</v>
      </c>
      <c r="L1020" t="s">
        <v>53</v>
      </c>
      <c r="M1020">
        <v>7.968</v>
      </c>
      <c r="N1020">
        <v>2</v>
      </c>
      <c r="O1020">
        <v>0.2</v>
      </c>
      <c r="P1020">
        <v>2.8883999999999999</v>
      </c>
      <c r="Q1020" s="1">
        <v>0.36249999999999999</v>
      </c>
      <c r="R1020" t="s">
        <v>4</v>
      </c>
      <c r="S1020" t="s">
        <v>408</v>
      </c>
    </row>
    <row r="1021" spans="1:19" x14ac:dyDescent="0.3">
      <c r="A1021">
        <v>5115</v>
      </c>
      <c r="B1021" t="s">
        <v>2195</v>
      </c>
      <c r="C1021">
        <v>2016</v>
      </c>
      <c r="D1021" t="s">
        <v>392</v>
      </c>
      <c r="E1021" t="s">
        <v>6</v>
      </c>
      <c r="F1021" t="s">
        <v>111</v>
      </c>
      <c r="G1021" t="s">
        <v>112</v>
      </c>
      <c r="H1021" t="s">
        <v>16</v>
      </c>
      <c r="I1021" t="s">
        <v>2041</v>
      </c>
      <c r="J1021" t="s">
        <v>17</v>
      </c>
      <c r="K1021" t="s">
        <v>28</v>
      </c>
      <c r="L1021" t="s">
        <v>19</v>
      </c>
      <c r="M1021">
        <v>10.776</v>
      </c>
      <c r="N1021">
        <v>3</v>
      </c>
      <c r="O1021">
        <v>0.2</v>
      </c>
      <c r="P1021">
        <v>3.3675000000000002</v>
      </c>
      <c r="Q1021" s="1">
        <v>0.3125</v>
      </c>
      <c r="R1021" t="s">
        <v>4</v>
      </c>
      <c r="S1021" t="s">
        <v>408</v>
      </c>
    </row>
    <row r="1022" spans="1:19" x14ac:dyDescent="0.3">
      <c r="A1022">
        <v>5133</v>
      </c>
      <c r="B1022" t="s">
        <v>2196</v>
      </c>
      <c r="C1022">
        <v>2015</v>
      </c>
      <c r="D1022" t="s">
        <v>396</v>
      </c>
      <c r="E1022" t="s">
        <v>6</v>
      </c>
      <c r="F1022" t="s">
        <v>264</v>
      </c>
      <c r="G1022" t="s">
        <v>21</v>
      </c>
      <c r="H1022" t="s">
        <v>9</v>
      </c>
      <c r="I1022" t="s">
        <v>1493</v>
      </c>
      <c r="J1022" t="s">
        <v>26</v>
      </c>
      <c r="K1022" t="s">
        <v>27</v>
      </c>
      <c r="L1022" t="s">
        <v>19</v>
      </c>
      <c r="M1022">
        <v>107.976</v>
      </c>
      <c r="N1022">
        <v>3</v>
      </c>
      <c r="O1022">
        <v>0.2</v>
      </c>
      <c r="P1022">
        <v>37.791600000000003</v>
      </c>
      <c r="Q1022" s="1">
        <v>0.35</v>
      </c>
      <c r="R1022" t="s">
        <v>4</v>
      </c>
      <c r="S1022" t="s">
        <v>408</v>
      </c>
    </row>
    <row r="1023" spans="1:19" x14ac:dyDescent="0.3">
      <c r="A1023">
        <v>5162</v>
      </c>
      <c r="B1023" t="s">
        <v>2197</v>
      </c>
      <c r="C1023">
        <v>2014</v>
      </c>
      <c r="D1023" t="s">
        <v>425</v>
      </c>
      <c r="E1023" t="s">
        <v>13</v>
      </c>
      <c r="F1023" t="s">
        <v>33</v>
      </c>
      <c r="G1023" t="s">
        <v>34</v>
      </c>
      <c r="H1023" t="s">
        <v>16</v>
      </c>
      <c r="I1023" t="s">
        <v>1953</v>
      </c>
      <c r="J1023" t="s">
        <v>10</v>
      </c>
      <c r="K1023" t="s">
        <v>11</v>
      </c>
      <c r="L1023" t="s">
        <v>19</v>
      </c>
      <c r="M1023">
        <v>1367.84</v>
      </c>
      <c r="N1023">
        <v>8</v>
      </c>
      <c r="O1023">
        <v>0</v>
      </c>
      <c r="P1023">
        <v>259.88959999999997</v>
      </c>
      <c r="Q1023" s="1">
        <v>0.19</v>
      </c>
      <c r="R1023" t="s">
        <v>4</v>
      </c>
      <c r="S1023" t="s">
        <v>394</v>
      </c>
    </row>
    <row r="1024" spans="1:19" x14ac:dyDescent="0.3">
      <c r="A1024">
        <v>5171</v>
      </c>
      <c r="B1024" t="s">
        <v>2198</v>
      </c>
      <c r="C1024">
        <v>2016</v>
      </c>
      <c r="D1024" t="s">
        <v>417</v>
      </c>
      <c r="E1024" t="s">
        <v>13</v>
      </c>
      <c r="F1024" t="s">
        <v>130</v>
      </c>
      <c r="G1024" t="s">
        <v>61</v>
      </c>
      <c r="H1024" t="s">
        <v>38</v>
      </c>
      <c r="I1024" t="s">
        <v>2199</v>
      </c>
      <c r="J1024" t="s">
        <v>10</v>
      </c>
      <c r="K1024" t="s">
        <v>12</v>
      </c>
      <c r="L1024" t="s">
        <v>5</v>
      </c>
      <c r="M1024">
        <v>3504.9</v>
      </c>
      <c r="N1024">
        <v>5</v>
      </c>
      <c r="O1024">
        <v>0</v>
      </c>
      <c r="P1024">
        <v>700.98</v>
      </c>
      <c r="Q1024" s="1">
        <v>0.2</v>
      </c>
      <c r="R1024" t="s">
        <v>4</v>
      </c>
      <c r="S1024" t="s">
        <v>394</v>
      </c>
    </row>
    <row r="1025" spans="1:19" x14ac:dyDescent="0.3">
      <c r="A1025">
        <v>5188</v>
      </c>
      <c r="B1025" t="s">
        <v>2200</v>
      </c>
      <c r="C1025">
        <v>2015</v>
      </c>
      <c r="D1025" t="s">
        <v>428</v>
      </c>
      <c r="E1025" t="s">
        <v>6</v>
      </c>
      <c r="F1025" t="s">
        <v>94</v>
      </c>
      <c r="G1025" t="s">
        <v>65</v>
      </c>
      <c r="H1025" t="s">
        <v>38</v>
      </c>
      <c r="I1025" t="s">
        <v>2201</v>
      </c>
      <c r="J1025" t="s">
        <v>26</v>
      </c>
      <c r="K1025" t="s">
        <v>50</v>
      </c>
      <c r="L1025" t="s">
        <v>19</v>
      </c>
      <c r="M1025">
        <v>199.96</v>
      </c>
      <c r="N1025">
        <v>4</v>
      </c>
      <c r="O1025">
        <v>0</v>
      </c>
      <c r="P1025">
        <v>15.9968</v>
      </c>
      <c r="Q1025" s="1">
        <v>0.08</v>
      </c>
      <c r="R1025" t="s">
        <v>4</v>
      </c>
      <c r="S1025" t="s">
        <v>394</v>
      </c>
    </row>
    <row r="1026" spans="1:19" x14ac:dyDescent="0.3">
      <c r="A1026">
        <v>5192</v>
      </c>
      <c r="B1026" t="s">
        <v>2202</v>
      </c>
      <c r="C1026">
        <v>2017</v>
      </c>
      <c r="D1026" t="s">
        <v>417</v>
      </c>
      <c r="E1026" t="s">
        <v>6</v>
      </c>
      <c r="F1026" t="s">
        <v>43</v>
      </c>
      <c r="G1026" t="s">
        <v>15</v>
      </c>
      <c r="H1026" t="s">
        <v>16</v>
      </c>
      <c r="I1026" t="s">
        <v>2203</v>
      </c>
      <c r="J1026" t="s">
        <v>17</v>
      </c>
      <c r="K1026" t="s">
        <v>51</v>
      </c>
      <c r="L1026" t="s">
        <v>19</v>
      </c>
      <c r="M1026">
        <v>23.16</v>
      </c>
      <c r="N1026">
        <v>2</v>
      </c>
      <c r="O1026">
        <v>0</v>
      </c>
      <c r="P1026">
        <v>11.58</v>
      </c>
      <c r="Q1026" s="1">
        <v>0.5</v>
      </c>
      <c r="R1026" t="s">
        <v>4</v>
      </c>
      <c r="S1026" t="s">
        <v>394</v>
      </c>
    </row>
    <row r="1027" spans="1:19" x14ac:dyDescent="0.3">
      <c r="A1027">
        <v>5197</v>
      </c>
      <c r="B1027" t="s">
        <v>2204</v>
      </c>
      <c r="C1027">
        <v>2014</v>
      </c>
      <c r="D1027" t="s">
        <v>417</v>
      </c>
      <c r="E1027" t="s">
        <v>6</v>
      </c>
      <c r="F1027" t="s">
        <v>286</v>
      </c>
      <c r="G1027" t="s">
        <v>34</v>
      </c>
      <c r="H1027" t="s">
        <v>16</v>
      </c>
      <c r="I1027" t="s">
        <v>2205</v>
      </c>
      <c r="J1027" t="s">
        <v>17</v>
      </c>
      <c r="K1027" t="s">
        <v>51</v>
      </c>
      <c r="L1027" t="s">
        <v>19</v>
      </c>
      <c r="M1027">
        <v>158.13</v>
      </c>
      <c r="N1027">
        <v>3</v>
      </c>
      <c r="O1027">
        <v>0</v>
      </c>
      <c r="P1027">
        <v>77.483699999999999</v>
      </c>
      <c r="Q1027" s="1">
        <v>0.49</v>
      </c>
      <c r="R1027" t="s">
        <v>4</v>
      </c>
      <c r="S1027" t="s">
        <v>394</v>
      </c>
    </row>
    <row r="1028" spans="1:19" x14ac:dyDescent="0.3">
      <c r="A1028">
        <v>5211</v>
      </c>
      <c r="B1028" t="s">
        <v>2206</v>
      </c>
      <c r="C1028">
        <v>2015</v>
      </c>
      <c r="D1028" t="s">
        <v>430</v>
      </c>
      <c r="E1028" t="s">
        <v>13</v>
      </c>
      <c r="F1028" t="s">
        <v>105</v>
      </c>
      <c r="G1028" t="s">
        <v>63</v>
      </c>
      <c r="H1028" t="s">
        <v>48</v>
      </c>
      <c r="I1028" t="s">
        <v>2207</v>
      </c>
      <c r="J1028" t="s">
        <v>17</v>
      </c>
      <c r="K1028" t="s">
        <v>23</v>
      </c>
      <c r="L1028" t="s">
        <v>19</v>
      </c>
      <c r="M1028">
        <v>465.18</v>
      </c>
      <c r="N1028">
        <v>3</v>
      </c>
      <c r="O1028">
        <v>0</v>
      </c>
      <c r="P1028">
        <v>120.9468</v>
      </c>
      <c r="Q1028" s="1">
        <v>0.26</v>
      </c>
      <c r="R1028" t="s">
        <v>4</v>
      </c>
      <c r="S1028" t="s">
        <v>394</v>
      </c>
    </row>
    <row r="1029" spans="1:19" x14ac:dyDescent="0.3">
      <c r="A1029">
        <v>5221</v>
      </c>
      <c r="B1029" t="s">
        <v>2208</v>
      </c>
      <c r="C1029">
        <v>2014</v>
      </c>
      <c r="D1029" t="s">
        <v>396</v>
      </c>
      <c r="E1029" t="s">
        <v>35</v>
      </c>
      <c r="F1029" t="s">
        <v>130</v>
      </c>
      <c r="G1029" t="s">
        <v>61</v>
      </c>
      <c r="H1029" t="s">
        <v>38</v>
      </c>
      <c r="I1029" t="s">
        <v>2209</v>
      </c>
      <c r="J1029" t="s">
        <v>10</v>
      </c>
      <c r="K1029" t="s">
        <v>11</v>
      </c>
      <c r="L1029" t="s">
        <v>19</v>
      </c>
      <c r="M1029">
        <v>212.94</v>
      </c>
      <c r="N1029">
        <v>3</v>
      </c>
      <c r="O1029">
        <v>0</v>
      </c>
      <c r="P1029">
        <v>57.4938</v>
      </c>
      <c r="Q1029" s="1">
        <v>0.27</v>
      </c>
      <c r="R1029" t="s">
        <v>4</v>
      </c>
      <c r="S1029" t="s">
        <v>394</v>
      </c>
    </row>
    <row r="1030" spans="1:19" x14ac:dyDescent="0.3">
      <c r="A1030">
        <v>5226</v>
      </c>
      <c r="B1030" t="s">
        <v>2210</v>
      </c>
      <c r="C1030">
        <v>2016</v>
      </c>
      <c r="D1030" t="s">
        <v>396</v>
      </c>
      <c r="E1030" t="s">
        <v>6</v>
      </c>
      <c r="F1030" t="s">
        <v>66</v>
      </c>
      <c r="G1030" t="s">
        <v>67</v>
      </c>
      <c r="H1030" t="s">
        <v>48</v>
      </c>
      <c r="I1030" t="s">
        <v>1823</v>
      </c>
      <c r="J1030" t="s">
        <v>17</v>
      </c>
      <c r="K1030" t="s">
        <v>28</v>
      </c>
      <c r="L1030" t="s">
        <v>19</v>
      </c>
      <c r="M1030">
        <v>36.56</v>
      </c>
      <c r="N1030">
        <v>5</v>
      </c>
      <c r="O1030">
        <v>0.2</v>
      </c>
      <c r="P1030">
        <v>12.795999999999999</v>
      </c>
      <c r="Q1030" s="1">
        <v>0.35</v>
      </c>
      <c r="R1030" t="s">
        <v>4</v>
      </c>
      <c r="S1030" t="s">
        <v>408</v>
      </c>
    </row>
    <row r="1031" spans="1:19" x14ac:dyDescent="0.3">
      <c r="A1031">
        <v>5235</v>
      </c>
      <c r="B1031" t="s">
        <v>2211</v>
      </c>
      <c r="C1031">
        <v>2017</v>
      </c>
      <c r="D1031" t="s">
        <v>420</v>
      </c>
      <c r="E1031" t="s">
        <v>6</v>
      </c>
      <c r="F1031" t="s">
        <v>43</v>
      </c>
      <c r="G1031" t="s">
        <v>15</v>
      </c>
      <c r="H1031" t="s">
        <v>16</v>
      </c>
      <c r="I1031" t="s">
        <v>518</v>
      </c>
      <c r="J1031" t="s">
        <v>10</v>
      </c>
      <c r="K1031" t="s">
        <v>22</v>
      </c>
      <c r="L1031" t="s">
        <v>53</v>
      </c>
      <c r="M1031">
        <v>210.00800000000001</v>
      </c>
      <c r="N1031">
        <v>1</v>
      </c>
      <c r="O1031">
        <v>0.2</v>
      </c>
      <c r="P1031">
        <v>2.6251000000000002</v>
      </c>
      <c r="Q1031" s="1">
        <v>1.2500000000000001E-2</v>
      </c>
      <c r="R1031" t="s">
        <v>4</v>
      </c>
      <c r="S1031" t="s">
        <v>408</v>
      </c>
    </row>
    <row r="1032" spans="1:19" x14ac:dyDescent="0.3">
      <c r="A1032">
        <v>5245</v>
      </c>
      <c r="B1032" t="s">
        <v>2212</v>
      </c>
      <c r="C1032">
        <v>2016</v>
      </c>
      <c r="D1032" t="s">
        <v>420</v>
      </c>
      <c r="E1032" t="s">
        <v>13</v>
      </c>
      <c r="F1032" t="s">
        <v>14</v>
      </c>
      <c r="G1032" t="s">
        <v>15</v>
      </c>
      <c r="H1032" t="s">
        <v>16</v>
      </c>
      <c r="I1032" t="s">
        <v>2213</v>
      </c>
      <c r="J1032" t="s">
        <v>10</v>
      </c>
      <c r="K1032" t="s">
        <v>22</v>
      </c>
      <c r="L1032" t="s">
        <v>5</v>
      </c>
      <c r="M1032">
        <v>136.464</v>
      </c>
      <c r="N1032">
        <v>2</v>
      </c>
      <c r="O1032">
        <v>0.2</v>
      </c>
      <c r="P1032">
        <v>15.3522</v>
      </c>
      <c r="Q1032" s="1">
        <v>0.1125</v>
      </c>
      <c r="R1032" t="s">
        <v>4</v>
      </c>
      <c r="S1032" t="s">
        <v>408</v>
      </c>
    </row>
    <row r="1033" spans="1:19" x14ac:dyDescent="0.3">
      <c r="A1033">
        <v>5248</v>
      </c>
      <c r="B1033" t="s">
        <v>2214</v>
      </c>
      <c r="C1033">
        <v>2015</v>
      </c>
      <c r="D1033" t="s">
        <v>417</v>
      </c>
      <c r="E1033" t="s">
        <v>6</v>
      </c>
      <c r="F1033" t="s">
        <v>379</v>
      </c>
      <c r="G1033" t="s">
        <v>56</v>
      </c>
      <c r="H1033" t="s">
        <v>38</v>
      </c>
      <c r="I1033" t="s">
        <v>500</v>
      </c>
      <c r="J1033" t="s">
        <v>17</v>
      </c>
      <c r="K1033" t="s">
        <v>29</v>
      </c>
      <c r="L1033" t="s">
        <v>19</v>
      </c>
      <c r="M1033">
        <v>20.768000000000001</v>
      </c>
      <c r="N1033">
        <v>8</v>
      </c>
      <c r="O1033">
        <v>0.8</v>
      </c>
      <c r="P1033">
        <v>-52.958399999999997</v>
      </c>
      <c r="Q1033" s="1">
        <v>-2.5499999999999998</v>
      </c>
      <c r="R1033" t="s">
        <v>401</v>
      </c>
      <c r="S1033" t="s">
        <v>402</v>
      </c>
    </row>
    <row r="1034" spans="1:19" x14ac:dyDescent="0.3">
      <c r="A1034">
        <v>5258</v>
      </c>
      <c r="B1034" t="s">
        <v>2215</v>
      </c>
      <c r="C1034">
        <v>2017</v>
      </c>
      <c r="D1034" t="s">
        <v>430</v>
      </c>
      <c r="E1034" t="s">
        <v>6</v>
      </c>
      <c r="F1034" t="s">
        <v>311</v>
      </c>
      <c r="G1034" t="s">
        <v>15</v>
      </c>
      <c r="H1034" t="s">
        <v>16</v>
      </c>
      <c r="I1034" t="s">
        <v>2216</v>
      </c>
      <c r="J1034" t="s">
        <v>17</v>
      </c>
      <c r="K1034" t="s">
        <v>32</v>
      </c>
      <c r="L1034" t="s">
        <v>19</v>
      </c>
      <c r="M1034">
        <v>38.880000000000003</v>
      </c>
      <c r="N1034">
        <v>6</v>
      </c>
      <c r="O1034">
        <v>0</v>
      </c>
      <c r="P1034">
        <v>18.662400000000002</v>
      </c>
      <c r="Q1034" s="1">
        <v>0.48</v>
      </c>
      <c r="R1034" t="s">
        <v>4</v>
      </c>
      <c r="S1034" t="s">
        <v>394</v>
      </c>
    </row>
    <row r="1035" spans="1:19" x14ac:dyDescent="0.3">
      <c r="A1035">
        <v>5266</v>
      </c>
      <c r="B1035" t="s">
        <v>2217</v>
      </c>
      <c r="C1035">
        <v>2017</v>
      </c>
      <c r="D1035" t="s">
        <v>428</v>
      </c>
      <c r="E1035" t="s">
        <v>13</v>
      </c>
      <c r="F1035" t="s">
        <v>33</v>
      </c>
      <c r="G1035" t="s">
        <v>34</v>
      </c>
      <c r="H1035" t="s">
        <v>16</v>
      </c>
      <c r="I1035" t="s">
        <v>1932</v>
      </c>
      <c r="J1035" t="s">
        <v>17</v>
      </c>
      <c r="K1035" t="s">
        <v>32</v>
      </c>
      <c r="L1035" t="s">
        <v>53</v>
      </c>
      <c r="M1035">
        <v>11.76</v>
      </c>
      <c r="N1035">
        <v>2</v>
      </c>
      <c r="O1035">
        <v>0</v>
      </c>
      <c r="P1035">
        <v>5.7624000000000004</v>
      </c>
      <c r="Q1035" s="1">
        <v>0.49</v>
      </c>
      <c r="R1035" t="s">
        <v>4</v>
      </c>
      <c r="S1035" t="s">
        <v>394</v>
      </c>
    </row>
    <row r="1036" spans="1:19" x14ac:dyDescent="0.3">
      <c r="A1036">
        <v>5272</v>
      </c>
      <c r="B1036" t="s">
        <v>2218</v>
      </c>
      <c r="C1036">
        <v>2017</v>
      </c>
      <c r="D1036" t="s">
        <v>430</v>
      </c>
      <c r="E1036" t="s">
        <v>13</v>
      </c>
      <c r="F1036" t="s">
        <v>14</v>
      </c>
      <c r="G1036" t="s">
        <v>15</v>
      </c>
      <c r="H1036" t="s">
        <v>16</v>
      </c>
      <c r="I1036" t="s">
        <v>404</v>
      </c>
      <c r="J1036" t="s">
        <v>10</v>
      </c>
      <c r="K1036" t="s">
        <v>24</v>
      </c>
      <c r="L1036" t="s">
        <v>158</v>
      </c>
      <c r="M1036">
        <v>27.92</v>
      </c>
      <c r="N1036">
        <v>4</v>
      </c>
      <c r="O1036">
        <v>0</v>
      </c>
      <c r="P1036">
        <v>8.0968</v>
      </c>
      <c r="Q1036" s="1">
        <v>0.28999999999999998</v>
      </c>
      <c r="R1036" t="s">
        <v>4</v>
      </c>
      <c r="S1036" t="s">
        <v>394</v>
      </c>
    </row>
    <row r="1037" spans="1:19" x14ac:dyDescent="0.3">
      <c r="A1037">
        <v>5279</v>
      </c>
      <c r="B1037" t="s">
        <v>2219</v>
      </c>
      <c r="C1037">
        <v>2014</v>
      </c>
      <c r="D1037" t="s">
        <v>410</v>
      </c>
      <c r="E1037" t="s">
        <v>6</v>
      </c>
      <c r="F1037" t="s">
        <v>238</v>
      </c>
      <c r="G1037" t="s">
        <v>74</v>
      </c>
      <c r="H1037" t="s">
        <v>9</v>
      </c>
      <c r="I1037" t="s">
        <v>1285</v>
      </c>
      <c r="J1037" t="s">
        <v>17</v>
      </c>
      <c r="K1037" t="s">
        <v>32</v>
      </c>
      <c r="L1037" t="s">
        <v>19</v>
      </c>
      <c r="M1037">
        <v>105.52</v>
      </c>
      <c r="N1037">
        <v>4</v>
      </c>
      <c r="O1037">
        <v>0</v>
      </c>
      <c r="P1037">
        <v>48.539200000000001</v>
      </c>
      <c r="Q1037" s="1">
        <v>0.46</v>
      </c>
      <c r="R1037" t="s">
        <v>4</v>
      </c>
      <c r="S1037" t="s">
        <v>394</v>
      </c>
    </row>
    <row r="1038" spans="1:19" x14ac:dyDescent="0.3">
      <c r="A1038">
        <v>5312</v>
      </c>
      <c r="B1038" t="s">
        <v>2220</v>
      </c>
      <c r="C1038">
        <v>2016</v>
      </c>
      <c r="D1038" t="s">
        <v>420</v>
      </c>
      <c r="E1038" t="s">
        <v>35</v>
      </c>
      <c r="F1038" t="s">
        <v>260</v>
      </c>
      <c r="G1038" t="s">
        <v>31</v>
      </c>
      <c r="H1038" t="s">
        <v>9</v>
      </c>
      <c r="I1038" t="s">
        <v>2221</v>
      </c>
      <c r="J1038" t="s">
        <v>17</v>
      </c>
      <c r="K1038" t="s">
        <v>18</v>
      </c>
      <c r="L1038" t="s">
        <v>19</v>
      </c>
      <c r="M1038">
        <v>9.2159999999999993</v>
      </c>
      <c r="N1038">
        <v>4</v>
      </c>
      <c r="O1038">
        <v>0.2</v>
      </c>
      <c r="P1038">
        <v>3.3408000000000002</v>
      </c>
      <c r="Q1038" s="1">
        <v>0.36249999999999999</v>
      </c>
      <c r="R1038" t="s">
        <v>4</v>
      </c>
      <c r="S1038" t="s">
        <v>408</v>
      </c>
    </row>
    <row r="1039" spans="1:19" x14ac:dyDescent="0.3">
      <c r="A1039">
        <v>5328</v>
      </c>
      <c r="B1039" t="s">
        <v>2222</v>
      </c>
      <c r="C1039">
        <v>2014</v>
      </c>
      <c r="D1039" t="s">
        <v>430</v>
      </c>
      <c r="E1039" t="s">
        <v>6</v>
      </c>
      <c r="F1039" t="s">
        <v>14</v>
      </c>
      <c r="G1039" t="s">
        <v>15</v>
      </c>
      <c r="H1039" t="s">
        <v>16</v>
      </c>
      <c r="I1039" t="s">
        <v>2223</v>
      </c>
      <c r="J1039" t="s">
        <v>17</v>
      </c>
      <c r="K1039" t="s">
        <v>32</v>
      </c>
      <c r="L1039" t="s">
        <v>5</v>
      </c>
      <c r="M1039">
        <v>19.440000000000001</v>
      </c>
      <c r="N1039">
        <v>3</v>
      </c>
      <c r="O1039">
        <v>0</v>
      </c>
      <c r="P1039">
        <v>9.3312000000000008</v>
      </c>
      <c r="Q1039" s="1">
        <v>0.48</v>
      </c>
      <c r="R1039" t="s">
        <v>4</v>
      </c>
      <c r="S1039" t="s">
        <v>394</v>
      </c>
    </row>
    <row r="1040" spans="1:19" x14ac:dyDescent="0.3">
      <c r="A1040">
        <v>5349</v>
      </c>
      <c r="B1040" t="s">
        <v>2224</v>
      </c>
      <c r="C1040">
        <v>2015</v>
      </c>
      <c r="D1040" t="s">
        <v>430</v>
      </c>
      <c r="E1040" t="s">
        <v>13</v>
      </c>
      <c r="F1040" t="s">
        <v>380</v>
      </c>
      <c r="G1040" t="s">
        <v>59</v>
      </c>
      <c r="H1040" t="s">
        <v>38</v>
      </c>
      <c r="I1040" t="s">
        <v>2225</v>
      </c>
      <c r="J1040" t="s">
        <v>17</v>
      </c>
      <c r="K1040" t="s">
        <v>28</v>
      </c>
      <c r="L1040" t="s">
        <v>19</v>
      </c>
      <c r="M1040">
        <v>32.340000000000003</v>
      </c>
      <c r="N1040">
        <v>3</v>
      </c>
      <c r="O1040">
        <v>0</v>
      </c>
      <c r="P1040">
        <v>15.523199999999999</v>
      </c>
      <c r="Q1040" s="1">
        <v>0.48</v>
      </c>
      <c r="R1040" t="s">
        <v>4</v>
      </c>
      <c r="S1040" t="s">
        <v>394</v>
      </c>
    </row>
    <row r="1041" spans="1:19" x14ac:dyDescent="0.3">
      <c r="A1041">
        <v>5365</v>
      </c>
      <c r="B1041" t="s">
        <v>2226</v>
      </c>
      <c r="C1041">
        <v>2014</v>
      </c>
      <c r="D1041" t="s">
        <v>430</v>
      </c>
      <c r="E1041" t="s">
        <v>13</v>
      </c>
      <c r="F1041" t="s">
        <v>73</v>
      </c>
      <c r="G1041" t="s">
        <v>86</v>
      </c>
      <c r="H1041" t="s">
        <v>16</v>
      </c>
      <c r="I1041" t="s">
        <v>2227</v>
      </c>
      <c r="J1041" t="s">
        <v>17</v>
      </c>
      <c r="K1041" t="s">
        <v>29</v>
      </c>
      <c r="L1041" t="s">
        <v>5</v>
      </c>
      <c r="M1041">
        <v>64.864000000000004</v>
      </c>
      <c r="N1041">
        <v>4</v>
      </c>
      <c r="O1041">
        <v>0.2</v>
      </c>
      <c r="P1041">
        <v>6.4863999999999997</v>
      </c>
      <c r="Q1041" s="1">
        <v>0.1</v>
      </c>
      <c r="R1041" t="s">
        <v>4</v>
      </c>
      <c r="S1041" t="s">
        <v>408</v>
      </c>
    </row>
    <row r="1042" spans="1:19" x14ac:dyDescent="0.3">
      <c r="A1042">
        <v>5373</v>
      </c>
      <c r="B1042" t="s">
        <v>2228</v>
      </c>
      <c r="C1042">
        <v>2015</v>
      </c>
      <c r="D1042" t="s">
        <v>399</v>
      </c>
      <c r="E1042" t="s">
        <v>13</v>
      </c>
      <c r="F1042" t="s">
        <v>52</v>
      </c>
      <c r="G1042" t="s">
        <v>37</v>
      </c>
      <c r="H1042" t="s">
        <v>38</v>
      </c>
      <c r="I1042" t="s">
        <v>492</v>
      </c>
      <c r="J1042" t="s">
        <v>17</v>
      </c>
      <c r="K1042" t="s">
        <v>32</v>
      </c>
      <c r="L1042" t="s">
        <v>19</v>
      </c>
      <c r="M1042">
        <v>15.552</v>
      </c>
      <c r="N1042">
        <v>3</v>
      </c>
      <c r="O1042">
        <v>0.2</v>
      </c>
      <c r="P1042">
        <v>5.4432</v>
      </c>
      <c r="Q1042" s="1">
        <v>0.35</v>
      </c>
      <c r="R1042" t="s">
        <v>4</v>
      </c>
      <c r="S1042" t="s">
        <v>408</v>
      </c>
    </row>
    <row r="1043" spans="1:19" x14ac:dyDescent="0.3">
      <c r="A1043">
        <v>5380</v>
      </c>
      <c r="B1043" t="s">
        <v>2229</v>
      </c>
      <c r="C1043">
        <v>2016</v>
      </c>
      <c r="D1043" t="s">
        <v>420</v>
      </c>
      <c r="E1043" t="s">
        <v>6</v>
      </c>
      <c r="F1043" t="s">
        <v>14</v>
      </c>
      <c r="G1043" t="s">
        <v>15</v>
      </c>
      <c r="H1043" t="s">
        <v>16</v>
      </c>
      <c r="I1043" t="s">
        <v>2230</v>
      </c>
      <c r="J1043" t="s">
        <v>17</v>
      </c>
      <c r="K1043" t="s">
        <v>32</v>
      </c>
      <c r="L1043" t="s">
        <v>19</v>
      </c>
      <c r="M1043">
        <v>15.54</v>
      </c>
      <c r="N1043">
        <v>3</v>
      </c>
      <c r="O1043">
        <v>0</v>
      </c>
      <c r="P1043">
        <v>7.6146000000000003</v>
      </c>
      <c r="Q1043" s="1">
        <v>0.49</v>
      </c>
      <c r="R1043" t="s">
        <v>4</v>
      </c>
      <c r="S1043" t="s">
        <v>394</v>
      </c>
    </row>
    <row r="1044" spans="1:19" x14ac:dyDescent="0.3">
      <c r="A1044">
        <v>5388</v>
      </c>
      <c r="B1044" t="s">
        <v>2231</v>
      </c>
      <c r="C1044">
        <v>2017</v>
      </c>
      <c r="D1044" t="s">
        <v>529</v>
      </c>
      <c r="E1044" t="s">
        <v>13</v>
      </c>
      <c r="F1044" t="s">
        <v>14</v>
      </c>
      <c r="G1044" t="s">
        <v>15</v>
      </c>
      <c r="H1044" t="s">
        <v>16</v>
      </c>
      <c r="I1044" t="s">
        <v>2232</v>
      </c>
      <c r="J1044" t="s">
        <v>26</v>
      </c>
      <c r="K1044" t="s">
        <v>27</v>
      </c>
      <c r="L1044" t="s">
        <v>5</v>
      </c>
      <c r="M1044">
        <v>167.976</v>
      </c>
      <c r="N1044">
        <v>3</v>
      </c>
      <c r="O1044">
        <v>0.2</v>
      </c>
      <c r="P1044">
        <v>10.4985</v>
      </c>
      <c r="Q1044" s="1">
        <v>6.25E-2</v>
      </c>
      <c r="R1044" t="s">
        <v>4</v>
      </c>
      <c r="S1044" t="s">
        <v>408</v>
      </c>
    </row>
    <row r="1045" spans="1:19" x14ac:dyDescent="0.3">
      <c r="A1045">
        <v>5403</v>
      </c>
      <c r="B1045" t="s">
        <v>2233</v>
      </c>
      <c r="C1045">
        <v>2017</v>
      </c>
      <c r="D1045" t="s">
        <v>420</v>
      </c>
      <c r="E1045" t="s">
        <v>13</v>
      </c>
      <c r="F1045" t="s">
        <v>66</v>
      </c>
      <c r="G1045" t="s">
        <v>67</v>
      </c>
      <c r="H1045" t="s">
        <v>48</v>
      </c>
      <c r="I1045" t="s">
        <v>2234</v>
      </c>
      <c r="J1045" t="s">
        <v>17</v>
      </c>
      <c r="K1045" t="s">
        <v>28</v>
      </c>
      <c r="L1045" t="s">
        <v>19</v>
      </c>
      <c r="M1045">
        <v>24.672000000000001</v>
      </c>
      <c r="N1045">
        <v>4</v>
      </c>
      <c r="O1045">
        <v>0.2</v>
      </c>
      <c r="P1045">
        <v>7.71</v>
      </c>
      <c r="Q1045" s="1">
        <v>0.3125</v>
      </c>
      <c r="R1045" t="s">
        <v>4</v>
      </c>
      <c r="S1045" t="s">
        <v>408</v>
      </c>
    </row>
    <row r="1046" spans="1:19" x14ac:dyDescent="0.3">
      <c r="A1046">
        <v>5421</v>
      </c>
      <c r="B1046" t="s">
        <v>2235</v>
      </c>
      <c r="C1046">
        <v>2016</v>
      </c>
      <c r="D1046" t="s">
        <v>447</v>
      </c>
      <c r="E1046" t="s">
        <v>6</v>
      </c>
      <c r="F1046" t="s">
        <v>46</v>
      </c>
      <c r="G1046" t="s">
        <v>47</v>
      </c>
      <c r="H1046" t="s">
        <v>48</v>
      </c>
      <c r="I1046" t="s">
        <v>2236</v>
      </c>
      <c r="J1046" t="s">
        <v>26</v>
      </c>
      <c r="K1046" t="s">
        <v>27</v>
      </c>
      <c r="L1046" t="s">
        <v>5</v>
      </c>
      <c r="M1046">
        <v>280.78199999999998</v>
      </c>
      <c r="N1046">
        <v>3</v>
      </c>
      <c r="O1046">
        <v>0.4</v>
      </c>
      <c r="P1046">
        <v>-60.836100000000002</v>
      </c>
      <c r="Q1046" s="1">
        <v>-0.21666666666666701</v>
      </c>
      <c r="R1046" t="s">
        <v>401</v>
      </c>
      <c r="S1046" t="s">
        <v>402</v>
      </c>
    </row>
    <row r="1047" spans="1:19" x14ac:dyDescent="0.3">
      <c r="A1047">
        <v>5455</v>
      </c>
      <c r="B1047" t="s">
        <v>2237</v>
      </c>
      <c r="C1047">
        <v>2017</v>
      </c>
      <c r="D1047" t="s">
        <v>406</v>
      </c>
      <c r="E1047" t="s">
        <v>13</v>
      </c>
      <c r="F1047" t="s">
        <v>46</v>
      </c>
      <c r="G1047" t="s">
        <v>47</v>
      </c>
      <c r="H1047" t="s">
        <v>48</v>
      </c>
      <c r="I1047" t="s">
        <v>818</v>
      </c>
      <c r="J1047" t="s">
        <v>17</v>
      </c>
      <c r="K1047" t="s">
        <v>23</v>
      </c>
      <c r="L1047" t="s">
        <v>19</v>
      </c>
      <c r="M1047">
        <v>8.3840000000000003</v>
      </c>
      <c r="N1047">
        <v>1</v>
      </c>
      <c r="O1047">
        <v>0.2</v>
      </c>
      <c r="P1047">
        <v>0.73360000000000003</v>
      </c>
      <c r="Q1047" s="1">
        <v>8.7499999999999994E-2</v>
      </c>
      <c r="R1047" t="s">
        <v>4</v>
      </c>
      <c r="S1047" t="s">
        <v>408</v>
      </c>
    </row>
    <row r="1048" spans="1:19" x14ac:dyDescent="0.3">
      <c r="A1048">
        <v>5463</v>
      </c>
      <c r="B1048" t="s">
        <v>2238</v>
      </c>
      <c r="C1048">
        <v>2014</v>
      </c>
      <c r="D1048" t="s">
        <v>430</v>
      </c>
      <c r="E1048" t="s">
        <v>6</v>
      </c>
      <c r="F1048" t="s">
        <v>107</v>
      </c>
      <c r="G1048" t="s">
        <v>72</v>
      </c>
      <c r="H1048" t="s">
        <v>16</v>
      </c>
      <c r="I1048" t="s">
        <v>2225</v>
      </c>
      <c r="J1048" t="s">
        <v>17</v>
      </c>
      <c r="K1048" t="s">
        <v>28</v>
      </c>
      <c r="L1048" t="s">
        <v>53</v>
      </c>
      <c r="M1048">
        <v>32.340000000000003</v>
      </c>
      <c r="N1048">
        <v>10</v>
      </c>
      <c r="O1048">
        <v>0.7</v>
      </c>
      <c r="P1048">
        <v>-23.716000000000001</v>
      </c>
      <c r="Q1048" s="1">
        <v>-0.73333333333333295</v>
      </c>
      <c r="R1048" t="s">
        <v>401</v>
      </c>
      <c r="S1048" t="s">
        <v>402</v>
      </c>
    </row>
    <row r="1049" spans="1:19" x14ac:dyDescent="0.3">
      <c r="A1049">
        <v>5467</v>
      </c>
      <c r="B1049" t="s">
        <v>2239</v>
      </c>
      <c r="C1049">
        <v>2014</v>
      </c>
      <c r="D1049" t="s">
        <v>529</v>
      </c>
      <c r="E1049" t="s">
        <v>6</v>
      </c>
      <c r="F1049" t="s">
        <v>52</v>
      </c>
      <c r="G1049" t="s">
        <v>37</v>
      </c>
      <c r="H1049" t="s">
        <v>38</v>
      </c>
      <c r="I1049" t="s">
        <v>2240</v>
      </c>
      <c r="J1049" t="s">
        <v>17</v>
      </c>
      <c r="K1049" t="s">
        <v>32</v>
      </c>
      <c r="L1049" t="s">
        <v>5</v>
      </c>
      <c r="M1049">
        <v>16.175999999999998</v>
      </c>
      <c r="N1049">
        <v>3</v>
      </c>
      <c r="O1049">
        <v>0.2</v>
      </c>
      <c r="P1049">
        <v>6.0659999999999998</v>
      </c>
      <c r="Q1049" s="1">
        <v>0.375</v>
      </c>
      <c r="R1049" t="s">
        <v>4</v>
      </c>
      <c r="S1049" t="s">
        <v>408</v>
      </c>
    </row>
    <row r="1050" spans="1:19" x14ac:dyDescent="0.3">
      <c r="A1050">
        <v>5481</v>
      </c>
      <c r="B1050" t="s">
        <v>2241</v>
      </c>
      <c r="C1050">
        <v>2017</v>
      </c>
      <c r="D1050" t="s">
        <v>399</v>
      </c>
      <c r="E1050" t="s">
        <v>13</v>
      </c>
      <c r="F1050" t="s">
        <v>134</v>
      </c>
      <c r="G1050" t="s">
        <v>15</v>
      </c>
      <c r="H1050" t="s">
        <v>16</v>
      </c>
      <c r="I1050" t="s">
        <v>2242</v>
      </c>
      <c r="J1050" t="s">
        <v>26</v>
      </c>
      <c r="K1050" t="s">
        <v>27</v>
      </c>
      <c r="L1050" t="s">
        <v>19</v>
      </c>
      <c r="M1050">
        <v>103.19199999999999</v>
      </c>
      <c r="N1050">
        <v>1</v>
      </c>
      <c r="O1050">
        <v>0.2</v>
      </c>
      <c r="P1050">
        <v>11.6091</v>
      </c>
      <c r="Q1050" s="1">
        <v>0.1125</v>
      </c>
      <c r="R1050" t="s">
        <v>4</v>
      </c>
      <c r="S1050" t="s">
        <v>408</v>
      </c>
    </row>
    <row r="1051" spans="1:19" x14ac:dyDescent="0.3">
      <c r="A1051">
        <v>5509</v>
      </c>
      <c r="B1051" t="s">
        <v>2243</v>
      </c>
      <c r="C1051">
        <v>2015</v>
      </c>
      <c r="D1051" t="s">
        <v>399</v>
      </c>
      <c r="E1051" t="s">
        <v>6</v>
      </c>
      <c r="F1051" t="s">
        <v>43</v>
      </c>
      <c r="G1051" t="s">
        <v>15</v>
      </c>
      <c r="H1051" t="s">
        <v>16</v>
      </c>
      <c r="I1051" t="s">
        <v>656</v>
      </c>
      <c r="J1051" t="s">
        <v>10</v>
      </c>
      <c r="K1051" t="s">
        <v>24</v>
      </c>
      <c r="L1051" t="s">
        <v>19</v>
      </c>
      <c r="M1051">
        <v>145.9</v>
      </c>
      <c r="N1051">
        <v>5</v>
      </c>
      <c r="O1051">
        <v>0</v>
      </c>
      <c r="P1051">
        <v>62.737000000000002</v>
      </c>
      <c r="Q1051" s="1">
        <v>0.43</v>
      </c>
      <c r="R1051" t="s">
        <v>4</v>
      </c>
      <c r="S1051" t="s">
        <v>394</v>
      </c>
    </row>
    <row r="1052" spans="1:19" x14ac:dyDescent="0.3">
      <c r="A1052">
        <v>5512</v>
      </c>
      <c r="B1052" t="s">
        <v>2244</v>
      </c>
      <c r="C1052">
        <v>2014</v>
      </c>
      <c r="D1052" t="s">
        <v>529</v>
      </c>
      <c r="E1052" t="s">
        <v>6</v>
      </c>
      <c r="F1052" t="s">
        <v>302</v>
      </c>
      <c r="G1052" t="s">
        <v>86</v>
      </c>
      <c r="H1052" t="s">
        <v>16</v>
      </c>
      <c r="I1052" t="s">
        <v>2245</v>
      </c>
      <c r="J1052" t="s">
        <v>17</v>
      </c>
      <c r="K1052" t="s">
        <v>32</v>
      </c>
      <c r="L1052" t="s">
        <v>19</v>
      </c>
      <c r="M1052">
        <v>32.896000000000001</v>
      </c>
      <c r="N1052">
        <v>4</v>
      </c>
      <c r="O1052">
        <v>0.2</v>
      </c>
      <c r="P1052">
        <v>11.102399999999999</v>
      </c>
      <c r="Q1052" s="1">
        <v>0.33750000000000002</v>
      </c>
      <c r="R1052" t="s">
        <v>4</v>
      </c>
      <c r="S1052" t="s">
        <v>408</v>
      </c>
    </row>
    <row r="1053" spans="1:19" x14ac:dyDescent="0.3">
      <c r="A1053">
        <v>5514</v>
      </c>
      <c r="B1053" t="s">
        <v>2246</v>
      </c>
      <c r="C1053">
        <v>2015</v>
      </c>
      <c r="D1053" t="s">
        <v>417</v>
      </c>
      <c r="E1053" t="s">
        <v>6</v>
      </c>
      <c r="F1053" t="s">
        <v>66</v>
      </c>
      <c r="G1053" t="s">
        <v>67</v>
      </c>
      <c r="H1053" t="s">
        <v>48</v>
      </c>
      <c r="I1053" t="s">
        <v>2247</v>
      </c>
      <c r="J1053" t="s">
        <v>26</v>
      </c>
      <c r="K1053" t="s">
        <v>27</v>
      </c>
      <c r="L1053" t="s">
        <v>53</v>
      </c>
      <c r="M1053">
        <v>239.97</v>
      </c>
      <c r="N1053">
        <v>3</v>
      </c>
      <c r="O1053">
        <v>0</v>
      </c>
      <c r="P1053">
        <v>2.3997000000000002</v>
      </c>
      <c r="Q1053" s="1">
        <v>0.01</v>
      </c>
      <c r="R1053" t="s">
        <v>4</v>
      </c>
      <c r="S1053" t="s">
        <v>394</v>
      </c>
    </row>
    <row r="1054" spans="1:19" x14ac:dyDescent="0.3">
      <c r="A1054">
        <v>5529</v>
      </c>
      <c r="B1054" t="s">
        <v>2248</v>
      </c>
      <c r="C1054">
        <v>2015</v>
      </c>
      <c r="D1054" t="s">
        <v>447</v>
      </c>
      <c r="E1054" t="s">
        <v>13</v>
      </c>
      <c r="F1054" t="s">
        <v>179</v>
      </c>
      <c r="G1054" t="s">
        <v>21</v>
      </c>
      <c r="H1054" t="s">
        <v>9</v>
      </c>
      <c r="I1054" t="s">
        <v>866</v>
      </c>
      <c r="J1054" t="s">
        <v>26</v>
      </c>
      <c r="K1054" t="s">
        <v>27</v>
      </c>
      <c r="L1054" t="s">
        <v>19</v>
      </c>
      <c r="M1054">
        <v>79.959999999999994</v>
      </c>
      <c r="N1054">
        <v>5</v>
      </c>
      <c r="O1054">
        <v>0.2</v>
      </c>
      <c r="P1054">
        <v>27.986000000000001</v>
      </c>
      <c r="Q1054" s="1">
        <v>0.35</v>
      </c>
      <c r="R1054" t="s">
        <v>4</v>
      </c>
      <c r="S1054" t="s">
        <v>408</v>
      </c>
    </row>
    <row r="1055" spans="1:19" x14ac:dyDescent="0.3">
      <c r="A1055">
        <v>5540</v>
      </c>
      <c r="B1055" t="s">
        <v>2249</v>
      </c>
      <c r="C1055">
        <v>2017</v>
      </c>
      <c r="D1055" t="s">
        <v>417</v>
      </c>
      <c r="E1055" t="s">
        <v>6</v>
      </c>
      <c r="F1055" t="s">
        <v>70</v>
      </c>
      <c r="G1055" t="s">
        <v>56</v>
      </c>
      <c r="H1055" t="s">
        <v>38</v>
      </c>
      <c r="I1055" t="s">
        <v>472</v>
      </c>
      <c r="J1055" t="s">
        <v>10</v>
      </c>
      <c r="K1055" t="s">
        <v>12</v>
      </c>
      <c r="L1055" t="s">
        <v>19</v>
      </c>
      <c r="M1055">
        <v>181.98599999999999</v>
      </c>
      <c r="N1055">
        <v>2</v>
      </c>
      <c r="O1055">
        <v>0.3</v>
      </c>
      <c r="P1055">
        <v>-54.595799999999997</v>
      </c>
      <c r="Q1055" s="1">
        <v>-0.3</v>
      </c>
      <c r="R1055" t="s">
        <v>401</v>
      </c>
      <c r="S1055" t="s">
        <v>402</v>
      </c>
    </row>
    <row r="1056" spans="1:19" x14ac:dyDescent="0.3">
      <c r="A1056">
        <v>5543</v>
      </c>
      <c r="B1056" t="s">
        <v>2250</v>
      </c>
      <c r="C1056">
        <v>2016</v>
      </c>
      <c r="D1056" t="s">
        <v>410</v>
      </c>
      <c r="E1056" t="s">
        <v>13</v>
      </c>
      <c r="F1056" t="s">
        <v>161</v>
      </c>
      <c r="G1056" t="s">
        <v>72</v>
      </c>
      <c r="H1056" t="s">
        <v>16</v>
      </c>
      <c r="I1056" t="s">
        <v>2251</v>
      </c>
      <c r="J1056" t="s">
        <v>10</v>
      </c>
      <c r="K1056" t="s">
        <v>22</v>
      </c>
      <c r="L1056" t="s">
        <v>19</v>
      </c>
      <c r="M1056">
        <v>455.97</v>
      </c>
      <c r="N1056">
        <v>6</v>
      </c>
      <c r="O1056">
        <v>0.5</v>
      </c>
      <c r="P1056">
        <v>-218.8656</v>
      </c>
      <c r="Q1056" s="1">
        <v>-0.48</v>
      </c>
      <c r="R1056" t="s">
        <v>401</v>
      </c>
      <c r="S1056" t="s">
        <v>402</v>
      </c>
    </row>
    <row r="1057" spans="1:19" x14ac:dyDescent="0.3">
      <c r="A1057">
        <v>5582</v>
      </c>
      <c r="B1057" t="s">
        <v>2252</v>
      </c>
      <c r="C1057">
        <v>2017</v>
      </c>
      <c r="D1057" t="s">
        <v>399</v>
      </c>
      <c r="E1057" t="s">
        <v>35</v>
      </c>
      <c r="F1057" t="s">
        <v>246</v>
      </c>
      <c r="G1057" t="s">
        <v>231</v>
      </c>
      <c r="H1057" t="s">
        <v>48</v>
      </c>
      <c r="I1057" t="s">
        <v>2154</v>
      </c>
      <c r="J1057" t="s">
        <v>10</v>
      </c>
      <c r="K1057" t="s">
        <v>24</v>
      </c>
      <c r="L1057" t="s">
        <v>19</v>
      </c>
      <c r="M1057">
        <v>19.98</v>
      </c>
      <c r="N1057">
        <v>1</v>
      </c>
      <c r="O1057">
        <v>0</v>
      </c>
      <c r="P1057">
        <v>8.5914000000000001</v>
      </c>
      <c r="Q1057" s="1">
        <v>0.43</v>
      </c>
      <c r="R1057" t="s">
        <v>4</v>
      </c>
      <c r="S1057" t="s">
        <v>394</v>
      </c>
    </row>
    <row r="1058" spans="1:19" x14ac:dyDescent="0.3">
      <c r="A1058">
        <v>5614</v>
      </c>
      <c r="B1058" t="s">
        <v>2253</v>
      </c>
      <c r="C1058">
        <v>2016</v>
      </c>
      <c r="D1058" t="s">
        <v>529</v>
      </c>
      <c r="E1058" t="s">
        <v>6</v>
      </c>
      <c r="F1058" t="s">
        <v>66</v>
      </c>
      <c r="G1058" t="s">
        <v>67</v>
      </c>
      <c r="H1058" t="s">
        <v>48</v>
      </c>
      <c r="I1058" t="s">
        <v>2254</v>
      </c>
      <c r="J1058" t="s">
        <v>17</v>
      </c>
      <c r="K1058" t="s">
        <v>23</v>
      </c>
      <c r="L1058" t="s">
        <v>19</v>
      </c>
      <c r="M1058">
        <v>117.96</v>
      </c>
      <c r="N1058">
        <v>2</v>
      </c>
      <c r="O1058">
        <v>0</v>
      </c>
      <c r="P1058">
        <v>5.8979999999999997</v>
      </c>
      <c r="Q1058" s="1">
        <v>0.05</v>
      </c>
      <c r="R1058" t="s">
        <v>4</v>
      </c>
      <c r="S1058" t="s">
        <v>394</v>
      </c>
    </row>
    <row r="1059" spans="1:19" x14ac:dyDescent="0.3">
      <c r="A1059">
        <v>5624</v>
      </c>
      <c r="B1059" t="s">
        <v>2255</v>
      </c>
      <c r="C1059">
        <v>2016</v>
      </c>
      <c r="D1059" t="s">
        <v>399</v>
      </c>
      <c r="E1059" t="s">
        <v>13</v>
      </c>
      <c r="F1059" t="s">
        <v>14</v>
      </c>
      <c r="G1059" t="s">
        <v>15</v>
      </c>
      <c r="H1059" t="s">
        <v>16</v>
      </c>
      <c r="I1059" t="s">
        <v>1464</v>
      </c>
      <c r="J1059" t="s">
        <v>26</v>
      </c>
      <c r="K1059" t="s">
        <v>50</v>
      </c>
      <c r="L1059" t="s">
        <v>5</v>
      </c>
      <c r="M1059">
        <v>100</v>
      </c>
      <c r="N1059">
        <v>4</v>
      </c>
      <c r="O1059">
        <v>0</v>
      </c>
      <c r="P1059">
        <v>21</v>
      </c>
      <c r="Q1059" s="1">
        <v>0.21</v>
      </c>
      <c r="R1059" t="s">
        <v>4</v>
      </c>
      <c r="S1059" t="s">
        <v>394</v>
      </c>
    </row>
    <row r="1060" spans="1:19" x14ac:dyDescent="0.3">
      <c r="A1060">
        <v>5631</v>
      </c>
      <c r="B1060" t="s">
        <v>2256</v>
      </c>
      <c r="C1060">
        <v>2014</v>
      </c>
      <c r="D1060" t="s">
        <v>529</v>
      </c>
      <c r="E1060" t="s">
        <v>6</v>
      </c>
      <c r="F1060" t="s">
        <v>306</v>
      </c>
      <c r="G1060" t="s">
        <v>74</v>
      </c>
      <c r="H1060" t="s">
        <v>9</v>
      </c>
      <c r="I1060" t="s">
        <v>824</v>
      </c>
      <c r="J1060" t="s">
        <v>26</v>
      </c>
      <c r="K1060" t="s">
        <v>50</v>
      </c>
      <c r="L1060" t="s">
        <v>19</v>
      </c>
      <c r="M1060">
        <v>234.45</v>
      </c>
      <c r="N1060">
        <v>3</v>
      </c>
      <c r="O1060">
        <v>0</v>
      </c>
      <c r="P1060">
        <v>103.158</v>
      </c>
      <c r="Q1060" s="1">
        <v>0.44</v>
      </c>
      <c r="R1060" t="s">
        <v>4</v>
      </c>
      <c r="S1060" t="s">
        <v>394</v>
      </c>
    </row>
    <row r="1061" spans="1:19" x14ac:dyDescent="0.3">
      <c r="A1061">
        <v>5639</v>
      </c>
      <c r="B1061" t="s">
        <v>2257</v>
      </c>
      <c r="C1061">
        <v>2014</v>
      </c>
      <c r="D1061" t="s">
        <v>410</v>
      </c>
      <c r="E1061" t="s">
        <v>6</v>
      </c>
      <c r="F1061" t="s">
        <v>134</v>
      </c>
      <c r="G1061" t="s">
        <v>15</v>
      </c>
      <c r="H1061" t="s">
        <v>16</v>
      </c>
      <c r="I1061" t="s">
        <v>2258</v>
      </c>
      <c r="J1061" t="s">
        <v>10</v>
      </c>
      <c r="K1061" t="s">
        <v>12</v>
      </c>
      <c r="L1061" t="s">
        <v>19</v>
      </c>
      <c r="M1061">
        <v>1325.76</v>
      </c>
      <c r="N1061">
        <v>6</v>
      </c>
      <c r="O1061">
        <v>0.2</v>
      </c>
      <c r="P1061">
        <v>149.148</v>
      </c>
      <c r="Q1061" s="1">
        <v>0.1125</v>
      </c>
      <c r="R1061" t="s">
        <v>4</v>
      </c>
      <c r="S1061" t="s">
        <v>408</v>
      </c>
    </row>
    <row r="1062" spans="1:19" x14ac:dyDescent="0.3">
      <c r="A1062">
        <v>5644</v>
      </c>
      <c r="B1062" t="s">
        <v>2259</v>
      </c>
      <c r="C1062">
        <v>2015</v>
      </c>
      <c r="D1062" t="s">
        <v>417</v>
      </c>
      <c r="E1062" t="s">
        <v>13</v>
      </c>
      <c r="F1062" t="s">
        <v>248</v>
      </c>
      <c r="G1062" t="s">
        <v>157</v>
      </c>
      <c r="H1062" t="s">
        <v>9</v>
      </c>
      <c r="I1062" t="s">
        <v>2260</v>
      </c>
      <c r="J1062" t="s">
        <v>17</v>
      </c>
      <c r="K1062" t="s">
        <v>51</v>
      </c>
      <c r="L1062" t="s">
        <v>5</v>
      </c>
      <c r="M1062">
        <v>17.940000000000001</v>
      </c>
      <c r="N1062">
        <v>3</v>
      </c>
      <c r="O1062">
        <v>0</v>
      </c>
      <c r="P1062">
        <v>8.7905999999999995</v>
      </c>
      <c r="Q1062" s="1">
        <v>0.49</v>
      </c>
      <c r="R1062" t="s">
        <v>4</v>
      </c>
      <c r="S1062" t="s">
        <v>394</v>
      </c>
    </row>
    <row r="1063" spans="1:19" x14ac:dyDescent="0.3">
      <c r="A1063">
        <v>5676</v>
      </c>
      <c r="B1063" t="s">
        <v>2261</v>
      </c>
      <c r="C1063">
        <v>2014</v>
      </c>
      <c r="D1063" t="s">
        <v>417</v>
      </c>
      <c r="E1063" t="s">
        <v>13</v>
      </c>
      <c r="F1063" t="s">
        <v>33</v>
      </c>
      <c r="G1063" t="s">
        <v>34</v>
      </c>
      <c r="H1063" t="s">
        <v>16</v>
      </c>
      <c r="I1063" t="s">
        <v>1007</v>
      </c>
      <c r="J1063" t="s">
        <v>26</v>
      </c>
      <c r="K1063" t="s">
        <v>27</v>
      </c>
      <c r="L1063" t="s">
        <v>19</v>
      </c>
      <c r="M1063">
        <v>57.408000000000001</v>
      </c>
      <c r="N1063">
        <v>6</v>
      </c>
      <c r="O1063">
        <v>0.2</v>
      </c>
      <c r="P1063">
        <v>5.7408000000000001</v>
      </c>
      <c r="Q1063" s="1">
        <v>0.1</v>
      </c>
      <c r="R1063" t="s">
        <v>4</v>
      </c>
      <c r="S1063" t="s">
        <v>408</v>
      </c>
    </row>
    <row r="1064" spans="1:19" x14ac:dyDescent="0.3">
      <c r="A1064">
        <v>5679</v>
      </c>
      <c r="B1064" t="s">
        <v>2262</v>
      </c>
      <c r="C1064">
        <v>2016</v>
      </c>
      <c r="D1064" t="s">
        <v>425</v>
      </c>
      <c r="E1064" t="s">
        <v>35</v>
      </c>
      <c r="F1064" t="s">
        <v>381</v>
      </c>
      <c r="G1064" t="s">
        <v>61</v>
      </c>
      <c r="H1064" t="s">
        <v>38</v>
      </c>
      <c r="I1064" t="s">
        <v>2263</v>
      </c>
      <c r="J1064" t="s">
        <v>17</v>
      </c>
      <c r="K1064" t="s">
        <v>68</v>
      </c>
      <c r="L1064" t="s">
        <v>19</v>
      </c>
      <c r="M1064">
        <v>20.440000000000001</v>
      </c>
      <c r="N1064">
        <v>7</v>
      </c>
      <c r="O1064">
        <v>0</v>
      </c>
      <c r="P1064">
        <v>9.1980000000000004</v>
      </c>
      <c r="Q1064" s="1">
        <v>0.45</v>
      </c>
      <c r="R1064" t="s">
        <v>4</v>
      </c>
      <c r="S1064" t="s">
        <v>394</v>
      </c>
    </row>
    <row r="1065" spans="1:19" x14ac:dyDescent="0.3">
      <c r="A1065">
        <v>5683</v>
      </c>
      <c r="B1065" t="s">
        <v>2264</v>
      </c>
      <c r="C1065">
        <v>2014</v>
      </c>
      <c r="D1065" t="s">
        <v>406</v>
      </c>
      <c r="E1065" t="s">
        <v>6</v>
      </c>
      <c r="F1065" t="s">
        <v>372</v>
      </c>
      <c r="G1065" t="s">
        <v>157</v>
      </c>
      <c r="H1065" t="s">
        <v>9</v>
      </c>
      <c r="I1065" t="s">
        <v>2090</v>
      </c>
      <c r="J1065" t="s">
        <v>17</v>
      </c>
      <c r="K1065" t="s">
        <v>32</v>
      </c>
      <c r="L1065" t="s">
        <v>19</v>
      </c>
      <c r="M1065">
        <v>15.84</v>
      </c>
      <c r="N1065">
        <v>3</v>
      </c>
      <c r="O1065">
        <v>0</v>
      </c>
      <c r="P1065">
        <v>7.1280000000000001</v>
      </c>
      <c r="Q1065" s="1">
        <v>0.45</v>
      </c>
      <c r="R1065" t="s">
        <v>4</v>
      </c>
      <c r="S1065" t="s">
        <v>394</v>
      </c>
    </row>
    <row r="1066" spans="1:19" x14ac:dyDescent="0.3">
      <c r="A1066">
        <v>5687</v>
      </c>
      <c r="B1066" t="s">
        <v>2265</v>
      </c>
      <c r="C1066">
        <v>2014</v>
      </c>
      <c r="D1066" t="s">
        <v>425</v>
      </c>
      <c r="E1066" t="s">
        <v>6</v>
      </c>
      <c r="F1066" t="s">
        <v>304</v>
      </c>
      <c r="G1066" t="s">
        <v>21</v>
      </c>
      <c r="H1066" t="s">
        <v>9</v>
      </c>
      <c r="I1066" t="s">
        <v>516</v>
      </c>
      <c r="J1066" t="s">
        <v>17</v>
      </c>
      <c r="K1066" t="s">
        <v>68</v>
      </c>
      <c r="L1066" t="s">
        <v>158</v>
      </c>
      <c r="M1066">
        <v>14.32</v>
      </c>
      <c r="N1066">
        <v>5</v>
      </c>
      <c r="O1066">
        <v>0.2</v>
      </c>
      <c r="P1066">
        <v>5.1909999999999998</v>
      </c>
      <c r="Q1066" s="1">
        <v>0.36249999999999999</v>
      </c>
      <c r="R1066" t="s">
        <v>4</v>
      </c>
      <c r="S1066" t="s">
        <v>408</v>
      </c>
    </row>
    <row r="1067" spans="1:19" x14ac:dyDescent="0.3">
      <c r="A1067">
        <v>5720</v>
      </c>
      <c r="B1067" t="s">
        <v>2266</v>
      </c>
      <c r="C1067">
        <v>2017</v>
      </c>
      <c r="D1067" t="s">
        <v>447</v>
      </c>
      <c r="E1067" t="s">
        <v>6</v>
      </c>
      <c r="F1067" t="s">
        <v>287</v>
      </c>
      <c r="G1067" t="s">
        <v>65</v>
      </c>
      <c r="H1067" t="s">
        <v>38</v>
      </c>
      <c r="I1067" t="s">
        <v>2267</v>
      </c>
      <c r="J1067" t="s">
        <v>17</v>
      </c>
      <c r="K1067" t="s">
        <v>23</v>
      </c>
      <c r="L1067" t="s">
        <v>5</v>
      </c>
      <c r="M1067">
        <v>81.400000000000006</v>
      </c>
      <c r="N1067">
        <v>5</v>
      </c>
      <c r="O1067">
        <v>0</v>
      </c>
      <c r="P1067">
        <v>21.164000000000001</v>
      </c>
      <c r="Q1067" s="1">
        <v>0.26</v>
      </c>
      <c r="R1067" t="s">
        <v>4</v>
      </c>
      <c r="S1067" t="s">
        <v>394</v>
      </c>
    </row>
    <row r="1068" spans="1:19" x14ac:dyDescent="0.3">
      <c r="A1068">
        <v>5754</v>
      </c>
      <c r="B1068" t="s">
        <v>2268</v>
      </c>
      <c r="C1068">
        <v>2016</v>
      </c>
      <c r="D1068" t="s">
        <v>529</v>
      </c>
      <c r="E1068" t="s">
        <v>6</v>
      </c>
      <c r="F1068" t="s">
        <v>172</v>
      </c>
      <c r="G1068" t="s">
        <v>8</v>
      </c>
      <c r="H1068" t="s">
        <v>9</v>
      </c>
      <c r="I1068" t="s">
        <v>739</v>
      </c>
      <c r="J1068" t="s">
        <v>10</v>
      </c>
      <c r="K1068" t="s">
        <v>12</v>
      </c>
      <c r="L1068" t="s">
        <v>19</v>
      </c>
      <c r="M1068">
        <v>866.4</v>
      </c>
      <c r="N1068">
        <v>4</v>
      </c>
      <c r="O1068">
        <v>0</v>
      </c>
      <c r="P1068">
        <v>225.26400000000001</v>
      </c>
      <c r="Q1068" s="1">
        <v>0.26</v>
      </c>
      <c r="R1068" t="s">
        <v>4</v>
      </c>
      <c r="S1068" t="s">
        <v>394</v>
      </c>
    </row>
    <row r="1069" spans="1:19" x14ac:dyDescent="0.3">
      <c r="A1069">
        <v>5758</v>
      </c>
      <c r="B1069" t="s">
        <v>2269</v>
      </c>
      <c r="C1069">
        <v>2015</v>
      </c>
      <c r="D1069" t="s">
        <v>420</v>
      </c>
      <c r="E1069" t="s">
        <v>6</v>
      </c>
      <c r="F1069" t="s">
        <v>297</v>
      </c>
      <c r="G1069" t="s">
        <v>31</v>
      </c>
      <c r="H1069" t="s">
        <v>9</v>
      </c>
      <c r="I1069" t="s">
        <v>1364</v>
      </c>
      <c r="J1069" t="s">
        <v>10</v>
      </c>
      <c r="K1069" t="s">
        <v>24</v>
      </c>
      <c r="L1069" t="s">
        <v>19</v>
      </c>
      <c r="M1069">
        <v>46.152000000000001</v>
      </c>
      <c r="N1069">
        <v>3</v>
      </c>
      <c r="O1069">
        <v>0.2</v>
      </c>
      <c r="P1069">
        <v>12.1149</v>
      </c>
      <c r="Q1069" s="1">
        <v>0.26250000000000001</v>
      </c>
      <c r="R1069" t="s">
        <v>4</v>
      </c>
      <c r="S1069" t="s">
        <v>408</v>
      </c>
    </row>
    <row r="1070" spans="1:19" x14ac:dyDescent="0.3">
      <c r="A1070">
        <v>5766</v>
      </c>
      <c r="B1070" t="s">
        <v>2270</v>
      </c>
      <c r="C1070">
        <v>2014</v>
      </c>
      <c r="D1070" t="s">
        <v>392</v>
      </c>
      <c r="E1070" t="s">
        <v>6</v>
      </c>
      <c r="F1070" t="s">
        <v>383</v>
      </c>
      <c r="G1070" t="s">
        <v>15</v>
      </c>
      <c r="H1070" t="s">
        <v>16</v>
      </c>
      <c r="I1070" t="s">
        <v>2271</v>
      </c>
      <c r="J1070" t="s">
        <v>26</v>
      </c>
      <c r="K1070" t="s">
        <v>27</v>
      </c>
      <c r="L1070" t="s">
        <v>19</v>
      </c>
      <c r="M1070">
        <v>333.57600000000002</v>
      </c>
      <c r="N1070">
        <v>3</v>
      </c>
      <c r="O1070">
        <v>0.2</v>
      </c>
      <c r="P1070">
        <v>25.0182</v>
      </c>
      <c r="Q1070" s="1">
        <v>7.4999999999999997E-2</v>
      </c>
      <c r="R1070" t="s">
        <v>4</v>
      </c>
      <c r="S1070" t="s">
        <v>408</v>
      </c>
    </row>
    <row r="1071" spans="1:19" x14ac:dyDescent="0.3">
      <c r="A1071">
        <v>5769</v>
      </c>
      <c r="B1071" t="s">
        <v>2272</v>
      </c>
      <c r="C1071">
        <v>2015</v>
      </c>
      <c r="D1071" t="s">
        <v>529</v>
      </c>
      <c r="E1071" t="s">
        <v>6</v>
      </c>
      <c r="F1071" t="s">
        <v>309</v>
      </c>
      <c r="G1071" t="s">
        <v>156</v>
      </c>
      <c r="H1071" t="s">
        <v>48</v>
      </c>
      <c r="I1071" t="s">
        <v>1394</v>
      </c>
      <c r="J1071" t="s">
        <v>17</v>
      </c>
      <c r="K1071" t="s">
        <v>18</v>
      </c>
      <c r="L1071" t="s">
        <v>19</v>
      </c>
      <c r="M1071">
        <v>3.15</v>
      </c>
      <c r="N1071">
        <v>1</v>
      </c>
      <c r="O1071">
        <v>0</v>
      </c>
      <c r="P1071">
        <v>1.512</v>
      </c>
      <c r="Q1071" s="1">
        <v>0.48</v>
      </c>
      <c r="R1071" t="s">
        <v>4</v>
      </c>
      <c r="S1071" t="s">
        <v>394</v>
      </c>
    </row>
    <row r="1072" spans="1:19" x14ac:dyDescent="0.3">
      <c r="A1072">
        <v>5774</v>
      </c>
      <c r="B1072" t="s">
        <v>2273</v>
      </c>
      <c r="C1072">
        <v>2016</v>
      </c>
      <c r="D1072" t="s">
        <v>420</v>
      </c>
      <c r="E1072" t="s">
        <v>6</v>
      </c>
      <c r="F1072" t="s">
        <v>378</v>
      </c>
      <c r="G1072" t="s">
        <v>37</v>
      </c>
      <c r="H1072" t="s">
        <v>38</v>
      </c>
      <c r="I1072" t="s">
        <v>723</v>
      </c>
      <c r="J1072" t="s">
        <v>17</v>
      </c>
      <c r="K1072" t="s">
        <v>23</v>
      </c>
      <c r="L1072" t="s">
        <v>19</v>
      </c>
      <c r="M1072">
        <v>23.968</v>
      </c>
      <c r="N1072">
        <v>2</v>
      </c>
      <c r="O1072">
        <v>0.2</v>
      </c>
      <c r="P1072">
        <v>2.3967999999999998</v>
      </c>
      <c r="Q1072" s="1">
        <v>0.1</v>
      </c>
      <c r="R1072" t="s">
        <v>4</v>
      </c>
      <c r="S1072" t="s">
        <v>408</v>
      </c>
    </row>
    <row r="1073" spans="1:19" x14ac:dyDescent="0.3">
      <c r="A1073">
        <v>5800</v>
      </c>
      <c r="B1073" t="s">
        <v>2274</v>
      </c>
      <c r="C1073">
        <v>2014</v>
      </c>
      <c r="D1073" t="s">
        <v>420</v>
      </c>
      <c r="E1073" t="s">
        <v>6</v>
      </c>
      <c r="F1073" t="s">
        <v>70</v>
      </c>
      <c r="G1073" t="s">
        <v>56</v>
      </c>
      <c r="H1073" t="s">
        <v>38</v>
      </c>
      <c r="I1073" t="s">
        <v>2275</v>
      </c>
      <c r="J1073" t="s">
        <v>10</v>
      </c>
      <c r="K1073" t="s">
        <v>12</v>
      </c>
      <c r="L1073" t="s">
        <v>5</v>
      </c>
      <c r="M1073">
        <v>421.37200000000001</v>
      </c>
      <c r="N1073">
        <v>2</v>
      </c>
      <c r="O1073">
        <v>0.3</v>
      </c>
      <c r="P1073">
        <v>-6.0195999999999996</v>
      </c>
      <c r="Q1073" s="1">
        <v>-1.4285714285714299E-2</v>
      </c>
      <c r="R1073" t="s">
        <v>401</v>
      </c>
      <c r="S1073" t="s">
        <v>402</v>
      </c>
    </row>
    <row r="1074" spans="1:19" x14ac:dyDescent="0.3">
      <c r="A1074">
        <v>5810</v>
      </c>
      <c r="B1074" t="s">
        <v>2276</v>
      </c>
      <c r="C1074">
        <v>2016</v>
      </c>
      <c r="D1074" t="s">
        <v>529</v>
      </c>
      <c r="E1074" t="s">
        <v>13</v>
      </c>
      <c r="F1074" t="s">
        <v>346</v>
      </c>
      <c r="G1074" t="s">
        <v>77</v>
      </c>
      <c r="H1074" t="s">
        <v>9</v>
      </c>
      <c r="I1074" t="s">
        <v>2277</v>
      </c>
      <c r="J1074" t="s">
        <v>10</v>
      </c>
      <c r="K1074" t="s">
        <v>24</v>
      </c>
      <c r="L1074" t="s">
        <v>19</v>
      </c>
      <c r="M1074">
        <v>132.22399999999999</v>
      </c>
      <c r="N1074">
        <v>4</v>
      </c>
      <c r="O1074">
        <v>0.2</v>
      </c>
      <c r="P1074">
        <v>-18.180800000000001</v>
      </c>
      <c r="Q1074" s="1">
        <v>-0.13750000000000001</v>
      </c>
      <c r="R1074" t="s">
        <v>401</v>
      </c>
      <c r="S1074" t="s">
        <v>408</v>
      </c>
    </row>
    <row r="1075" spans="1:19" x14ac:dyDescent="0.3">
      <c r="A1075">
        <v>5825</v>
      </c>
      <c r="B1075" t="s">
        <v>2278</v>
      </c>
      <c r="C1075">
        <v>2014</v>
      </c>
      <c r="D1075" t="s">
        <v>417</v>
      </c>
      <c r="E1075" t="s">
        <v>6</v>
      </c>
      <c r="F1075" t="s">
        <v>94</v>
      </c>
      <c r="G1075" t="s">
        <v>95</v>
      </c>
      <c r="H1075" t="s">
        <v>48</v>
      </c>
      <c r="I1075" t="s">
        <v>2279</v>
      </c>
      <c r="J1075" t="s">
        <v>17</v>
      </c>
      <c r="K1075" t="s">
        <v>29</v>
      </c>
      <c r="L1075" t="s">
        <v>158</v>
      </c>
      <c r="M1075">
        <v>26.135999999999999</v>
      </c>
      <c r="N1075">
        <v>3</v>
      </c>
      <c r="O1075">
        <v>0.2</v>
      </c>
      <c r="P1075">
        <v>1.9601999999999999</v>
      </c>
      <c r="Q1075" s="1">
        <v>7.4999999999999997E-2</v>
      </c>
      <c r="R1075" t="s">
        <v>4</v>
      </c>
      <c r="S1075" t="s">
        <v>408</v>
      </c>
    </row>
    <row r="1076" spans="1:19" x14ac:dyDescent="0.3">
      <c r="A1076">
        <v>5832</v>
      </c>
      <c r="B1076" t="s">
        <v>2280</v>
      </c>
      <c r="C1076">
        <v>2015</v>
      </c>
      <c r="D1076" t="s">
        <v>425</v>
      </c>
      <c r="E1076" t="s">
        <v>6</v>
      </c>
      <c r="F1076" t="s">
        <v>134</v>
      </c>
      <c r="G1076" t="s">
        <v>15</v>
      </c>
      <c r="H1076" t="s">
        <v>16</v>
      </c>
      <c r="I1076" t="s">
        <v>2281</v>
      </c>
      <c r="J1076" t="s">
        <v>26</v>
      </c>
      <c r="K1076" t="s">
        <v>50</v>
      </c>
      <c r="L1076" t="s">
        <v>19</v>
      </c>
      <c r="M1076">
        <v>519.96</v>
      </c>
      <c r="N1076">
        <v>4</v>
      </c>
      <c r="O1076">
        <v>0</v>
      </c>
      <c r="P1076">
        <v>176.78639999999999</v>
      </c>
      <c r="Q1076" s="1">
        <v>0.34</v>
      </c>
      <c r="R1076" t="s">
        <v>4</v>
      </c>
      <c r="S1076" t="s">
        <v>394</v>
      </c>
    </row>
    <row r="1077" spans="1:19" x14ac:dyDescent="0.3">
      <c r="A1077">
        <v>5839</v>
      </c>
      <c r="B1077" t="s">
        <v>2282</v>
      </c>
      <c r="C1077">
        <v>2015</v>
      </c>
      <c r="D1077" t="s">
        <v>447</v>
      </c>
      <c r="E1077" t="s">
        <v>6</v>
      </c>
      <c r="F1077" t="s">
        <v>33</v>
      </c>
      <c r="G1077" t="s">
        <v>34</v>
      </c>
      <c r="H1077" t="s">
        <v>16</v>
      </c>
      <c r="I1077" t="s">
        <v>2283</v>
      </c>
      <c r="J1077" t="s">
        <v>17</v>
      </c>
      <c r="K1077" t="s">
        <v>23</v>
      </c>
      <c r="L1077" t="s">
        <v>19</v>
      </c>
      <c r="M1077">
        <v>83.7</v>
      </c>
      <c r="N1077">
        <v>5</v>
      </c>
      <c r="O1077">
        <v>0</v>
      </c>
      <c r="P1077">
        <v>3.3479999999999999</v>
      </c>
      <c r="Q1077" s="1">
        <v>0.04</v>
      </c>
      <c r="R1077" t="s">
        <v>4</v>
      </c>
      <c r="S1077" t="s">
        <v>394</v>
      </c>
    </row>
    <row r="1078" spans="1:19" x14ac:dyDescent="0.3">
      <c r="A1078">
        <v>5854</v>
      </c>
      <c r="B1078" t="s">
        <v>2284</v>
      </c>
      <c r="C1078">
        <v>2014</v>
      </c>
      <c r="D1078" t="s">
        <v>428</v>
      </c>
      <c r="E1078" t="s">
        <v>35</v>
      </c>
      <c r="F1078" t="s">
        <v>238</v>
      </c>
      <c r="G1078" t="s">
        <v>74</v>
      </c>
      <c r="H1078" t="s">
        <v>9</v>
      </c>
      <c r="I1078" t="s">
        <v>674</v>
      </c>
      <c r="J1078" t="s">
        <v>17</v>
      </c>
      <c r="K1078" t="s">
        <v>28</v>
      </c>
      <c r="L1078" t="s">
        <v>19</v>
      </c>
      <c r="M1078">
        <v>9.64</v>
      </c>
      <c r="N1078">
        <v>2</v>
      </c>
      <c r="O1078">
        <v>0</v>
      </c>
      <c r="P1078">
        <v>4.7236000000000002</v>
      </c>
      <c r="Q1078" s="1">
        <v>0.49</v>
      </c>
      <c r="R1078" t="s">
        <v>4</v>
      </c>
      <c r="S1078" t="s">
        <v>394</v>
      </c>
    </row>
    <row r="1079" spans="1:19" x14ac:dyDescent="0.3">
      <c r="A1079">
        <v>5855</v>
      </c>
      <c r="B1079" t="s">
        <v>2285</v>
      </c>
      <c r="C1079">
        <v>2015</v>
      </c>
      <c r="D1079" t="s">
        <v>420</v>
      </c>
      <c r="E1079" t="s">
        <v>13</v>
      </c>
      <c r="F1079" t="s">
        <v>126</v>
      </c>
      <c r="G1079" t="s">
        <v>37</v>
      </c>
      <c r="H1079" t="s">
        <v>38</v>
      </c>
      <c r="I1079" t="s">
        <v>2286</v>
      </c>
      <c r="J1079" t="s">
        <v>17</v>
      </c>
      <c r="K1079" t="s">
        <v>23</v>
      </c>
      <c r="L1079" t="s">
        <v>19</v>
      </c>
      <c r="M1079">
        <v>33.488</v>
      </c>
      <c r="N1079">
        <v>7</v>
      </c>
      <c r="O1079">
        <v>0.2</v>
      </c>
      <c r="P1079">
        <v>-1.2558</v>
      </c>
      <c r="Q1079" s="1">
        <v>-3.7499999999999999E-2</v>
      </c>
      <c r="R1079" t="s">
        <v>401</v>
      </c>
      <c r="S1079" t="s">
        <v>408</v>
      </c>
    </row>
    <row r="1080" spans="1:19" x14ac:dyDescent="0.3">
      <c r="A1080">
        <v>5861</v>
      </c>
      <c r="B1080" t="s">
        <v>2287</v>
      </c>
      <c r="C1080">
        <v>2015</v>
      </c>
      <c r="D1080" t="s">
        <v>406</v>
      </c>
      <c r="E1080" t="s">
        <v>35</v>
      </c>
      <c r="F1080" t="s">
        <v>46</v>
      </c>
      <c r="G1080" t="s">
        <v>47</v>
      </c>
      <c r="H1080" t="s">
        <v>48</v>
      </c>
      <c r="I1080" t="s">
        <v>2288</v>
      </c>
      <c r="J1080" t="s">
        <v>17</v>
      </c>
      <c r="K1080" t="s">
        <v>32</v>
      </c>
      <c r="L1080" t="s">
        <v>5</v>
      </c>
      <c r="M1080">
        <v>7.968</v>
      </c>
      <c r="N1080">
        <v>2</v>
      </c>
      <c r="O1080">
        <v>0.2</v>
      </c>
      <c r="P1080">
        <v>2.8883999999999999</v>
      </c>
      <c r="Q1080" s="1">
        <v>0.36249999999999999</v>
      </c>
      <c r="R1080" t="s">
        <v>4</v>
      </c>
      <c r="S1080" t="s">
        <v>408</v>
      </c>
    </row>
    <row r="1081" spans="1:19" x14ac:dyDescent="0.3">
      <c r="A1081">
        <v>5886</v>
      </c>
      <c r="B1081" t="s">
        <v>2289</v>
      </c>
      <c r="C1081">
        <v>2014</v>
      </c>
      <c r="D1081" t="s">
        <v>399</v>
      </c>
      <c r="E1081" t="s">
        <v>6</v>
      </c>
      <c r="F1081" t="s">
        <v>43</v>
      </c>
      <c r="G1081" t="s">
        <v>15</v>
      </c>
      <c r="H1081" t="s">
        <v>16</v>
      </c>
      <c r="I1081" t="s">
        <v>2290</v>
      </c>
      <c r="J1081" t="s">
        <v>17</v>
      </c>
      <c r="K1081" t="s">
        <v>28</v>
      </c>
      <c r="L1081" t="s">
        <v>158</v>
      </c>
      <c r="M1081">
        <v>14.352</v>
      </c>
      <c r="N1081">
        <v>3</v>
      </c>
      <c r="O1081">
        <v>0.2</v>
      </c>
      <c r="P1081">
        <v>5.0232000000000001</v>
      </c>
      <c r="Q1081" s="1">
        <v>0.35</v>
      </c>
      <c r="R1081" t="s">
        <v>4</v>
      </c>
      <c r="S1081" t="s">
        <v>408</v>
      </c>
    </row>
    <row r="1082" spans="1:19" x14ac:dyDescent="0.3">
      <c r="A1082">
        <v>5985</v>
      </c>
      <c r="B1082" t="s">
        <v>2291</v>
      </c>
      <c r="C1082">
        <v>2016</v>
      </c>
      <c r="D1082" t="s">
        <v>425</v>
      </c>
      <c r="E1082" t="s">
        <v>6</v>
      </c>
      <c r="F1082" t="s">
        <v>371</v>
      </c>
      <c r="G1082" t="s">
        <v>175</v>
      </c>
      <c r="H1082" t="s">
        <v>9</v>
      </c>
      <c r="I1082" t="s">
        <v>2292</v>
      </c>
      <c r="J1082" t="s">
        <v>10</v>
      </c>
      <c r="K1082" t="s">
        <v>24</v>
      </c>
      <c r="L1082" t="s">
        <v>19</v>
      </c>
      <c r="M1082">
        <v>185.58</v>
      </c>
      <c r="N1082">
        <v>6</v>
      </c>
      <c r="O1082">
        <v>0</v>
      </c>
      <c r="P1082">
        <v>76.087800000000001</v>
      </c>
      <c r="Q1082" s="1">
        <v>0.41</v>
      </c>
      <c r="R1082" t="s">
        <v>4</v>
      </c>
      <c r="S1082" t="s">
        <v>394</v>
      </c>
    </row>
    <row r="1083" spans="1:19" x14ac:dyDescent="0.3">
      <c r="A1083">
        <v>6009</v>
      </c>
      <c r="B1083" t="s">
        <v>2293</v>
      </c>
      <c r="C1083">
        <v>2015</v>
      </c>
      <c r="D1083" t="s">
        <v>410</v>
      </c>
      <c r="E1083" t="s">
        <v>6</v>
      </c>
      <c r="F1083" t="s">
        <v>14</v>
      </c>
      <c r="G1083" t="s">
        <v>15</v>
      </c>
      <c r="H1083" t="s">
        <v>16</v>
      </c>
      <c r="I1083" t="s">
        <v>2294</v>
      </c>
      <c r="J1083" t="s">
        <v>17</v>
      </c>
      <c r="K1083" t="s">
        <v>32</v>
      </c>
      <c r="L1083" t="s">
        <v>19</v>
      </c>
      <c r="M1083">
        <v>68.52</v>
      </c>
      <c r="N1083">
        <v>3</v>
      </c>
      <c r="O1083">
        <v>0</v>
      </c>
      <c r="P1083">
        <v>31.519200000000001</v>
      </c>
      <c r="Q1083" s="1">
        <v>0.46</v>
      </c>
      <c r="R1083" t="s">
        <v>4</v>
      </c>
      <c r="S1083" t="s">
        <v>394</v>
      </c>
    </row>
    <row r="1084" spans="1:19" x14ac:dyDescent="0.3">
      <c r="A1084">
        <v>6020</v>
      </c>
      <c r="B1084" t="s">
        <v>2295</v>
      </c>
      <c r="C1084">
        <v>2014</v>
      </c>
      <c r="D1084" t="s">
        <v>399</v>
      </c>
      <c r="E1084" t="s">
        <v>6</v>
      </c>
      <c r="F1084" t="s">
        <v>94</v>
      </c>
      <c r="G1084" t="s">
        <v>95</v>
      </c>
      <c r="H1084" t="s">
        <v>48</v>
      </c>
      <c r="I1084" t="s">
        <v>1948</v>
      </c>
      <c r="J1084" t="s">
        <v>17</v>
      </c>
      <c r="K1084" t="s">
        <v>29</v>
      </c>
      <c r="L1084" t="s">
        <v>5</v>
      </c>
      <c r="M1084">
        <v>91.92</v>
      </c>
      <c r="N1084">
        <v>5</v>
      </c>
      <c r="O1084">
        <v>0.2</v>
      </c>
      <c r="P1084">
        <v>11.49</v>
      </c>
      <c r="Q1084" s="1">
        <v>0.125</v>
      </c>
      <c r="R1084" t="s">
        <v>4</v>
      </c>
      <c r="S1084" t="s">
        <v>408</v>
      </c>
    </row>
    <row r="1085" spans="1:19" x14ac:dyDescent="0.3">
      <c r="A1085">
        <v>6035</v>
      </c>
      <c r="B1085" t="s">
        <v>2296</v>
      </c>
      <c r="C1085">
        <v>2015</v>
      </c>
      <c r="D1085" t="s">
        <v>406</v>
      </c>
      <c r="E1085" t="s">
        <v>6</v>
      </c>
      <c r="F1085" t="s">
        <v>285</v>
      </c>
      <c r="G1085" t="s">
        <v>37</v>
      </c>
      <c r="H1085" t="s">
        <v>38</v>
      </c>
      <c r="I1085" t="s">
        <v>1740</v>
      </c>
      <c r="J1085" t="s">
        <v>17</v>
      </c>
      <c r="K1085" t="s">
        <v>29</v>
      </c>
      <c r="L1085" t="s">
        <v>19</v>
      </c>
      <c r="M1085">
        <v>19.568000000000001</v>
      </c>
      <c r="N1085">
        <v>2</v>
      </c>
      <c r="O1085">
        <v>0.8</v>
      </c>
      <c r="P1085">
        <v>-52.833599999999997</v>
      </c>
      <c r="Q1085" s="1">
        <v>-2.7</v>
      </c>
      <c r="R1085" t="s">
        <v>401</v>
      </c>
      <c r="S1085" t="s">
        <v>402</v>
      </c>
    </row>
    <row r="1086" spans="1:19" x14ac:dyDescent="0.3">
      <c r="A1086">
        <v>6043</v>
      </c>
      <c r="B1086" t="s">
        <v>2297</v>
      </c>
      <c r="C1086">
        <v>2016</v>
      </c>
      <c r="D1086" t="s">
        <v>529</v>
      </c>
      <c r="E1086" t="s">
        <v>6</v>
      </c>
      <c r="F1086" t="s">
        <v>206</v>
      </c>
      <c r="G1086" t="s">
        <v>72</v>
      </c>
      <c r="H1086" t="s">
        <v>16</v>
      </c>
      <c r="I1086" t="s">
        <v>2298</v>
      </c>
      <c r="J1086" t="s">
        <v>10</v>
      </c>
      <c r="K1086" t="s">
        <v>24</v>
      </c>
      <c r="L1086" t="s">
        <v>19</v>
      </c>
      <c r="M1086">
        <v>14.368</v>
      </c>
      <c r="N1086">
        <v>2</v>
      </c>
      <c r="O1086">
        <v>0.2</v>
      </c>
      <c r="P1086">
        <v>3.9512</v>
      </c>
      <c r="Q1086" s="1">
        <v>0.27500000000000002</v>
      </c>
      <c r="R1086" t="s">
        <v>4</v>
      </c>
      <c r="S1086" t="s">
        <v>408</v>
      </c>
    </row>
    <row r="1087" spans="1:19" x14ac:dyDescent="0.3">
      <c r="A1087">
        <v>6050</v>
      </c>
      <c r="B1087" t="s">
        <v>2299</v>
      </c>
      <c r="C1087">
        <v>2016</v>
      </c>
      <c r="D1087" t="s">
        <v>396</v>
      </c>
      <c r="E1087" t="s">
        <v>6</v>
      </c>
      <c r="F1087" t="s">
        <v>52</v>
      </c>
      <c r="G1087" t="s">
        <v>37</v>
      </c>
      <c r="H1087" t="s">
        <v>38</v>
      </c>
      <c r="I1087" t="s">
        <v>2300</v>
      </c>
      <c r="J1087" t="s">
        <v>17</v>
      </c>
      <c r="K1087" t="s">
        <v>32</v>
      </c>
      <c r="L1087" t="s">
        <v>53</v>
      </c>
      <c r="M1087">
        <v>173.488</v>
      </c>
      <c r="N1087">
        <v>7</v>
      </c>
      <c r="O1087">
        <v>0.2</v>
      </c>
      <c r="P1087">
        <v>54.215000000000003</v>
      </c>
      <c r="Q1087" s="1">
        <v>0.3125</v>
      </c>
      <c r="R1087" t="s">
        <v>4</v>
      </c>
      <c r="S1087" t="s">
        <v>408</v>
      </c>
    </row>
    <row r="1088" spans="1:19" x14ac:dyDescent="0.3">
      <c r="A1088">
        <v>6058</v>
      </c>
      <c r="B1088" t="s">
        <v>2301</v>
      </c>
      <c r="C1088">
        <v>2014</v>
      </c>
      <c r="D1088" t="s">
        <v>447</v>
      </c>
      <c r="E1088" t="s">
        <v>35</v>
      </c>
      <c r="F1088" t="s">
        <v>66</v>
      </c>
      <c r="G1088" t="s">
        <v>67</v>
      </c>
      <c r="H1088" t="s">
        <v>48</v>
      </c>
      <c r="I1088" t="s">
        <v>556</v>
      </c>
      <c r="J1088" t="s">
        <v>17</v>
      </c>
      <c r="K1088" t="s">
        <v>51</v>
      </c>
      <c r="L1088" t="s">
        <v>19</v>
      </c>
      <c r="M1088">
        <v>11.36</v>
      </c>
      <c r="N1088">
        <v>2</v>
      </c>
      <c r="O1088">
        <v>0</v>
      </c>
      <c r="P1088">
        <v>5.3391999999999999</v>
      </c>
      <c r="Q1088" s="1">
        <v>0.47</v>
      </c>
      <c r="R1088" t="s">
        <v>4</v>
      </c>
      <c r="S1088" t="s">
        <v>394</v>
      </c>
    </row>
    <row r="1089" spans="1:19" x14ac:dyDescent="0.3">
      <c r="A1089">
        <v>6082</v>
      </c>
      <c r="B1089" t="s">
        <v>2302</v>
      </c>
      <c r="C1089">
        <v>2014</v>
      </c>
      <c r="D1089" t="s">
        <v>529</v>
      </c>
      <c r="E1089" t="s">
        <v>6</v>
      </c>
      <c r="F1089" t="s">
        <v>307</v>
      </c>
      <c r="G1089" t="s">
        <v>37</v>
      </c>
      <c r="H1089" t="s">
        <v>38</v>
      </c>
      <c r="I1089" t="s">
        <v>2303</v>
      </c>
      <c r="J1089" t="s">
        <v>10</v>
      </c>
      <c r="K1089" t="s">
        <v>24</v>
      </c>
      <c r="L1089" t="s">
        <v>158</v>
      </c>
      <c r="M1089">
        <v>25.16</v>
      </c>
      <c r="N1089">
        <v>5</v>
      </c>
      <c r="O1089">
        <v>0.6</v>
      </c>
      <c r="P1089">
        <v>-11.321999999999999</v>
      </c>
      <c r="Q1089" s="1">
        <v>-0.45</v>
      </c>
      <c r="R1089" t="s">
        <v>401</v>
      </c>
      <c r="S1089" t="s">
        <v>402</v>
      </c>
    </row>
    <row r="1090" spans="1:19" x14ac:dyDescent="0.3">
      <c r="A1090">
        <v>6091</v>
      </c>
      <c r="B1090" t="s">
        <v>2304</v>
      </c>
      <c r="C1090">
        <v>2017</v>
      </c>
      <c r="D1090" t="s">
        <v>428</v>
      </c>
      <c r="E1090" t="s">
        <v>6</v>
      </c>
      <c r="F1090" t="s">
        <v>66</v>
      </c>
      <c r="G1090" t="s">
        <v>67</v>
      </c>
      <c r="H1090" t="s">
        <v>48</v>
      </c>
      <c r="I1090" t="s">
        <v>2305</v>
      </c>
      <c r="J1090" t="s">
        <v>10</v>
      </c>
      <c r="K1090" t="s">
        <v>12</v>
      </c>
      <c r="L1090" t="s">
        <v>19</v>
      </c>
      <c r="M1090">
        <v>272.64600000000002</v>
      </c>
      <c r="N1090">
        <v>3</v>
      </c>
      <c r="O1090">
        <v>0.1</v>
      </c>
      <c r="P1090">
        <v>18.176400000000001</v>
      </c>
      <c r="Q1090" s="1">
        <v>6.6666666666666693E-2</v>
      </c>
      <c r="R1090" t="s">
        <v>4</v>
      </c>
      <c r="S1090" t="s">
        <v>394</v>
      </c>
    </row>
    <row r="1091" spans="1:19" x14ac:dyDescent="0.3">
      <c r="A1091">
        <v>6129</v>
      </c>
      <c r="B1091" t="s">
        <v>2306</v>
      </c>
      <c r="C1091">
        <v>2014</v>
      </c>
      <c r="D1091" t="s">
        <v>399</v>
      </c>
      <c r="E1091" t="s">
        <v>13</v>
      </c>
      <c r="F1091" t="s">
        <v>43</v>
      </c>
      <c r="G1091" t="s">
        <v>15</v>
      </c>
      <c r="H1091" t="s">
        <v>16</v>
      </c>
      <c r="I1091" t="s">
        <v>1649</v>
      </c>
      <c r="J1091" t="s">
        <v>17</v>
      </c>
      <c r="K1091" t="s">
        <v>28</v>
      </c>
      <c r="L1091" t="s">
        <v>53</v>
      </c>
      <c r="M1091">
        <v>49.408000000000001</v>
      </c>
      <c r="N1091">
        <v>4</v>
      </c>
      <c r="O1091">
        <v>0.2</v>
      </c>
      <c r="P1091">
        <v>18.527999999999999</v>
      </c>
      <c r="Q1091" s="1">
        <v>0.375</v>
      </c>
      <c r="R1091" t="s">
        <v>4</v>
      </c>
      <c r="S1091" t="s">
        <v>408</v>
      </c>
    </row>
    <row r="1092" spans="1:19" x14ac:dyDescent="0.3">
      <c r="A1092">
        <v>6136</v>
      </c>
      <c r="B1092" t="s">
        <v>2307</v>
      </c>
      <c r="C1092">
        <v>2015</v>
      </c>
      <c r="D1092" t="s">
        <v>399</v>
      </c>
      <c r="E1092" t="s">
        <v>35</v>
      </c>
      <c r="F1092" t="s">
        <v>364</v>
      </c>
      <c r="G1092" t="s">
        <v>37</v>
      </c>
      <c r="H1092" t="s">
        <v>38</v>
      </c>
      <c r="I1092" t="s">
        <v>2308</v>
      </c>
      <c r="J1092" t="s">
        <v>26</v>
      </c>
      <c r="K1092" t="s">
        <v>50</v>
      </c>
      <c r="L1092" t="s">
        <v>19</v>
      </c>
      <c r="M1092">
        <v>27.696000000000002</v>
      </c>
      <c r="N1092">
        <v>3</v>
      </c>
      <c r="O1092">
        <v>0.2</v>
      </c>
      <c r="P1092">
        <v>3.4620000000000002</v>
      </c>
      <c r="Q1092" s="1">
        <v>0.125</v>
      </c>
      <c r="R1092" t="s">
        <v>4</v>
      </c>
      <c r="S1092" t="s">
        <v>408</v>
      </c>
    </row>
    <row r="1093" spans="1:19" x14ac:dyDescent="0.3">
      <c r="A1093">
        <v>6146</v>
      </c>
      <c r="B1093" t="s">
        <v>2309</v>
      </c>
      <c r="C1093">
        <v>2014</v>
      </c>
      <c r="D1093" t="s">
        <v>410</v>
      </c>
      <c r="E1093" t="s">
        <v>6</v>
      </c>
      <c r="F1093" t="s">
        <v>108</v>
      </c>
      <c r="G1093" t="s">
        <v>15</v>
      </c>
      <c r="H1093" t="s">
        <v>16</v>
      </c>
      <c r="I1093" t="s">
        <v>2310</v>
      </c>
      <c r="J1093" t="s">
        <v>17</v>
      </c>
      <c r="K1093" t="s">
        <v>25</v>
      </c>
      <c r="L1093" t="s">
        <v>19</v>
      </c>
      <c r="M1093">
        <v>11.76</v>
      </c>
      <c r="N1093">
        <v>4</v>
      </c>
      <c r="O1093">
        <v>0</v>
      </c>
      <c r="P1093">
        <v>3.1751999999999998</v>
      </c>
      <c r="Q1093" s="1">
        <v>0.27</v>
      </c>
      <c r="R1093" t="s">
        <v>4</v>
      </c>
      <c r="S1093" t="s">
        <v>394</v>
      </c>
    </row>
    <row r="1094" spans="1:19" x14ac:dyDescent="0.3">
      <c r="A1094">
        <v>6158</v>
      </c>
      <c r="B1094" t="s">
        <v>2311</v>
      </c>
      <c r="C1094">
        <v>2016</v>
      </c>
      <c r="D1094" t="s">
        <v>420</v>
      </c>
      <c r="E1094" t="s">
        <v>6</v>
      </c>
      <c r="F1094" t="s">
        <v>295</v>
      </c>
      <c r="G1094" t="s">
        <v>110</v>
      </c>
      <c r="H1094" t="s">
        <v>38</v>
      </c>
      <c r="I1094" t="s">
        <v>1212</v>
      </c>
      <c r="J1094" t="s">
        <v>17</v>
      </c>
      <c r="K1094" t="s">
        <v>51</v>
      </c>
      <c r="L1094" t="s">
        <v>5</v>
      </c>
      <c r="M1094">
        <v>81.540000000000006</v>
      </c>
      <c r="N1094">
        <v>3</v>
      </c>
      <c r="O1094">
        <v>0</v>
      </c>
      <c r="P1094">
        <v>38.323799999999999</v>
      </c>
      <c r="Q1094" s="1">
        <v>0.47</v>
      </c>
      <c r="R1094" t="s">
        <v>4</v>
      </c>
      <c r="S1094" t="s">
        <v>394</v>
      </c>
    </row>
    <row r="1095" spans="1:19" x14ac:dyDescent="0.3">
      <c r="A1095">
        <v>6161</v>
      </c>
      <c r="B1095" t="s">
        <v>2312</v>
      </c>
      <c r="C1095">
        <v>2014</v>
      </c>
      <c r="D1095" t="s">
        <v>447</v>
      </c>
      <c r="E1095" t="s">
        <v>13</v>
      </c>
      <c r="F1095" t="s">
        <v>193</v>
      </c>
      <c r="G1095" t="s">
        <v>21</v>
      </c>
      <c r="H1095" t="s">
        <v>9</v>
      </c>
      <c r="I1095" t="s">
        <v>2313</v>
      </c>
      <c r="J1095" t="s">
        <v>26</v>
      </c>
      <c r="K1095" t="s">
        <v>27</v>
      </c>
      <c r="L1095" t="s">
        <v>53</v>
      </c>
      <c r="M1095">
        <v>323.976</v>
      </c>
      <c r="N1095">
        <v>3</v>
      </c>
      <c r="O1095">
        <v>0.2</v>
      </c>
      <c r="P1095">
        <v>28.347899999999999</v>
      </c>
      <c r="Q1095" s="1">
        <v>8.7499999999999994E-2</v>
      </c>
      <c r="R1095" t="s">
        <v>4</v>
      </c>
      <c r="S1095" t="s">
        <v>408</v>
      </c>
    </row>
    <row r="1096" spans="1:19" x14ac:dyDescent="0.3">
      <c r="A1096">
        <v>6173</v>
      </c>
      <c r="B1096" t="s">
        <v>2314</v>
      </c>
      <c r="C1096">
        <v>2014</v>
      </c>
      <c r="D1096" t="s">
        <v>420</v>
      </c>
      <c r="E1096" t="s">
        <v>35</v>
      </c>
      <c r="F1096" t="s">
        <v>73</v>
      </c>
      <c r="G1096" t="s">
        <v>103</v>
      </c>
      <c r="H1096" t="s">
        <v>38</v>
      </c>
      <c r="I1096" t="s">
        <v>2315</v>
      </c>
      <c r="J1096" t="s">
        <v>17</v>
      </c>
      <c r="K1096" t="s">
        <v>28</v>
      </c>
      <c r="L1096" t="s">
        <v>19</v>
      </c>
      <c r="M1096">
        <v>26.7</v>
      </c>
      <c r="N1096">
        <v>5</v>
      </c>
      <c r="O1096">
        <v>0</v>
      </c>
      <c r="P1096">
        <v>12.548999999999999</v>
      </c>
      <c r="Q1096" s="1">
        <v>0.47</v>
      </c>
      <c r="R1096" t="s">
        <v>4</v>
      </c>
      <c r="S1096" t="s">
        <v>394</v>
      </c>
    </row>
    <row r="1097" spans="1:19" x14ac:dyDescent="0.3">
      <c r="A1097">
        <v>6190</v>
      </c>
      <c r="B1097" t="s">
        <v>2316</v>
      </c>
      <c r="C1097">
        <v>2017</v>
      </c>
      <c r="D1097" t="s">
        <v>406</v>
      </c>
      <c r="E1097" t="s">
        <v>6</v>
      </c>
      <c r="F1097" t="s">
        <v>384</v>
      </c>
      <c r="G1097" t="s">
        <v>56</v>
      </c>
      <c r="H1097" t="s">
        <v>38</v>
      </c>
      <c r="I1097" t="s">
        <v>1567</v>
      </c>
      <c r="J1097" t="s">
        <v>26</v>
      </c>
      <c r="K1097" t="s">
        <v>27</v>
      </c>
      <c r="L1097" t="s">
        <v>19</v>
      </c>
      <c r="M1097">
        <v>383.84</v>
      </c>
      <c r="N1097">
        <v>4</v>
      </c>
      <c r="O1097">
        <v>0.2</v>
      </c>
      <c r="P1097">
        <v>47.98</v>
      </c>
      <c r="Q1097" s="1">
        <v>0.125</v>
      </c>
      <c r="R1097" t="s">
        <v>4</v>
      </c>
      <c r="S1097" t="s">
        <v>408</v>
      </c>
    </row>
    <row r="1098" spans="1:19" x14ac:dyDescent="0.3">
      <c r="A1098">
        <v>6192</v>
      </c>
      <c r="B1098" t="s">
        <v>2317</v>
      </c>
      <c r="C1098">
        <v>2017</v>
      </c>
      <c r="D1098" t="s">
        <v>410</v>
      </c>
      <c r="E1098" t="s">
        <v>6</v>
      </c>
      <c r="F1098" t="s">
        <v>33</v>
      </c>
      <c r="G1098" t="s">
        <v>34</v>
      </c>
      <c r="H1098" t="s">
        <v>16</v>
      </c>
      <c r="I1098" t="s">
        <v>818</v>
      </c>
      <c r="J1098" t="s">
        <v>17</v>
      </c>
      <c r="K1098" t="s">
        <v>23</v>
      </c>
      <c r="L1098" t="s">
        <v>158</v>
      </c>
      <c r="M1098">
        <v>31.44</v>
      </c>
      <c r="N1098">
        <v>3</v>
      </c>
      <c r="O1098">
        <v>0</v>
      </c>
      <c r="P1098">
        <v>8.4887999999999995</v>
      </c>
      <c r="Q1098" s="1">
        <v>0.27</v>
      </c>
      <c r="R1098" t="s">
        <v>4</v>
      </c>
      <c r="S1098" t="s">
        <v>394</v>
      </c>
    </row>
    <row r="1099" spans="1:19" x14ac:dyDescent="0.3">
      <c r="A1099">
        <v>6218</v>
      </c>
      <c r="B1099" t="s">
        <v>2318</v>
      </c>
      <c r="C1099">
        <v>2015</v>
      </c>
      <c r="D1099" t="s">
        <v>425</v>
      </c>
      <c r="E1099" t="s">
        <v>6</v>
      </c>
      <c r="F1099" t="s">
        <v>173</v>
      </c>
      <c r="G1099" t="s">
        <v>8</v>
      </c>
      <c r="H1099" t="s">
        <v>9</v>
      </c>
      <c r="I1099" t="s">
        <v>1503</v>
      </c>
      <c r="J1099" t="s">
        <v>26</v>
      </c>
      <c r="K1099" t="s">
        <v>27</v>
      </c>
      <c r="L1099" t="s">
        <v>19</v>
      </c>
      <c r="M1099">
        <v>29.97</v>
      </c>
      <c r="N1099">
        <v>3</v>
      </c>
      <c r="O1099">
        <v>0</v>
      </c>
      <c r="P1099">
        <v>0.29970000000000002</v>
      </c>
      <c r="Q1099" s="1">
        <v>0.01</v>
      </c>
      <c r="R1099" t="s">
        <v>4</v>
      </c>
      <c r="S1099" t="s">
        <v>394</v>
      </c>
    </row>
    <row r="1100" spans="1:19" x14ac:dyDescent="0.3">
      <c r="A1100">
        <v>6237</v>
      </c>
      <c r="B1100" t="s">
        <v>2319</v>
      </c>
      <c r="C1100">
        <v>2016</v>
      </c>
      <c r="D1100" t="s">
        <v>529</v>
      </c>
      <c r="E1100" t="s">
        <v>13</v>
      </c>
      <c r="F1100" t="s">
        <v>46</v>
      </c>
      <c r="G1100" t="s">
        <v>47</v>
      </c>
      <c r="H1100" t="s">
        <v>48</v>
      </c>
      <c r="I1100" t="s">
        <v>2103</v>
      </c>
      <c r="J1100" t="s">
        <v>17</v>
      </c>
      <c r="K1100" t="s">
        <v>51</v>
      </c>
      <c r="L1100" t="s">
        <v>19</v>
      </c>
      <c r="M1100">
        <v>57.576000000000001</v>
      </c>
      <c r="N1100">
        <v>3</v>
      </c>
      <c r="O1100">
        <v>0.2</v>
      </c>
      <c r="P1100">
        <v>21.591000000000001</v>
      </c>
      <c r="Q1100" s="1">
        <v>0.375</v>
      </c>
      <c r="R1100" t="s">
        <v>4</v>
      </c>
      <c r="S1100" t="s">
        <v>408</v>
      </c>
    </row>
    <row r="1101" spans="1:19" x14ac:dyDescent="0.3">
      <c r="A1101">
        <v>6265</v>
      </c>
      <c r="B1101" t="s">
        <v>2320</v>
      </c>
      <c r="C1101">
        <v>2016</v>
      </c>
      <c r="D1101" t="s">
        <v>399</v>
      </c>
      <c r="E1101" t="s">
        <v>6</v>
      </c>
      <c r="F1101" t="s">
        <v>295</v>
      </c>
      <c r="G1101" t="s">
        <v>110</v>
      </c>
      <c r="H1101" t="s">
        <v>38</v>
      </c>
      <c r="I1101" t="s">
        <v>468</v>
      </c>
      <c r="J1101" t="s">
        <v>17</v>
      </c>
      <c r="K1101" t="s">
        <v>28</v>
      </c>
      <c r="L1101" t="s">
        <v>158</v>
      </c>
      <c r="M1101">
        <v>28.85</v>
      </c>
      <c r="N1101">
        <v>5</v>
      </c>
      <c r="O1101">
        <v>0</v>
      </c>
      <c r="P1101">
        <v>14.425000000000001</v>
      </c>
      <c r="Q1101" s="1">
        <v>0.5</v>
      </c>
      <c r="R1101" t="s">
        <v>4</v>
      </c>
      <c r="S1101" t="s">
        <v>394</v>
      </c>
    </row>
    <row r="1102" spans="1:19" x14ac:dyDescent="0.3">
      <c r="A1102">
        <v>6293</v>
      </c>
      <c r="B1102" t="s">
        <v>2321</v>
      </c>
      <c r="C1102">
        <v>2015</v>
      </c>
      <c r="D1102" t="s">
        <v>406</v>
      </c>
      <c r="E1102" t="s">
        <v>6</v>
      </c>
      <c r="F1102" t="s">
        <v>14</v>
      </c>
      <c r="G1102" t="s">
        <v>15</v>
      </c>
      <c r="H1102" t="s">
        <v>16</v>
      </c>
      <c r="I1102" t="s">
        <v>1087</v>
      </c>
      <c r="J1102" t="s">
        <v>26</v>
      </c>
      <c r="K1102" t="s">
        <v>27</v>
      </c>
      <c r="L1102" t="s">
        <v>19</v>
      </c>
      <c r="M1102">
        <v>88.775999999999996</v>
      </c>
      <c r="N1102">
        <v>3</v>
      </c>
      <c r="O1102">
        <v>0.2</v>
      </c>
      <c r="P1102">
        <v>7.7679</v>
      </c>
      <c r="Q1102" s="1">
        <v>8.7499999999999994E-2</v>
      </c>
      <c r="R1102" t="s">
        <v>4</v>
      </c>
      <c r="S1102" t="s">
        <v>408</v>
      </c>
    </row>
    <row r="1103" spans="1:19" x14ac:dyDescent="0.3">
      <c r="A1103">
        <v>6295</v>
      </c>
      <c r="B1103" t="s">
        <v>2322</v>
      </c>
      <c r="C1103">
        <v>2014</v>
      </c>
      <c r="D1103" t="s">
        <v>428</v>
      </c>
      <c r="E1103" t="s">
        <v>13</v>
      </c>
      <c r="F1103" t="s">
        <v>66</v>
      </c>
      <c r="G1103" t="s">
        <v>67</v>
      </c>
      <c r="H1103" t="s">
        <v>48</v>
      </c>
      <c r="I1103" t="s">
        <v>2323</v>
      </c>
      <c r="J1103" t="s">
        <v>17</v>
      </c>
      <c r="K1103" t="s">
        <v>28</v>
      </c>
      <c r="L1103" t="s">
        <v>53</v>
      </c>
      <c r="M1103">
        <v>33.552</v>
      </c>
      <c r="N1103">
        <v>1</v>
      </c>
      <c r="O1103">
        <v>0.2</v>
      </c>
      <c r="P1103">
        <v>12.582000000000001</v>
      </c>
      <c r="Q1103" s="1">
        <v>0.375</v>
      </c>
      <c r="R1103" t="s">
        <v>4</v>
      </c>
      <c r="S1103" t="s">
        <v>408</v>
      </c>
    </row>
    <row r="1104" spans="1:19" x14ac:dyDescent="0.3">
      <c r="A1104">
        <v>6312</v>
      </c>
      <c r="B1104" t="s">
        <v>2324</v>
      </c>
      <c r="C1104">
        <v>2014</v>
      </c>
      <c r="D1104" t="s">
        <v>428</v>
      </c>
      <c r="E1104" t="s">
        <v>6</v>
      </c>
      <c r="F1104" t="s">
        <v>385</v>
      </c>
      <c r="G1104" t="s">
        <v>15</v>
      </c>
      <c r="H1104" t="s">
        <v>16</v>
      </c>
      <c r="I1104" t="s">
        <v>2325</v>
      </c>
      <c r="J1104" t="s">
        <v>10</v>
      </c>
      <c r="K1104" t="s">
        <v>24</v>
      </c>
      <c r="L1104" t="s">
        <v>19</v>
      </c>
      <c r="M1104">
        <v>127.95</v>
      </c>
      <c r="N1104">
        <v>3</v>
      </c>
      <c r="O1104">
        <v>0</v>
      </c>
      <c r="P1104">
        <v>21.7515</v>
      </c>
      <c r="Q1104" s="1">
        <v>0.17</v>
      </c>
      <c r="R1104" t="s">
        <v>4</v>
      </c>
      <c r="S1104" t="s">
        <v>394</v>
      </c>
    </row>
    <row r="1105" spans="1:19" x14ac:dyDescent="0.3">
      <c r="A1105">
        <v>6324</v>
      </c>
      <c r="B1105" t="s">
        <v>2326</v>
      </c>
      <c r="C1105">
        <v>2014</v>
      </c>
      <c r="D1105" t="s">
        <v>396</v>
      </c>
      <c r="E1105" t="s">
        <v>6</v>
      </c>
      <c r="F1105" t="s">
        <v>105</v>
      </c>
      <c r="G1105" t="s">
        <v>63</v>
      </c>
      <c r="H1105" t="s">
        <v>48</v>
      </c>
      <c r="I1105" t="s">
        <v>2327</v>
      </c>
      <c r="J1105" t="s">
        <v>26</v>
      </c>
      <c r="K1105" t="s">
        <v>114</v>
      </c>
      <c r="L1105" t="s">
        <v>19</v>
      </c>
      <c r="M1105">
        <v>65.97</v>
      </c>
      <c r="N1105">
        <v>3</v>
      </c>
      <c r="O1105">
        <v>0</v>
      </c>
      <c r="P1105">
        <v>31.0059</v>
      </c>
      <c r="Q1105" s="1">
        <v>0.47</v>
      </c>
      <c r="R1105" t="s">
        <v>4</v>
      </c>
      <c r="S1105" t="s">
        <v>394</v>
      </c>
    </row>
    <row r="1106" spans="1:19" x14ac:dyDescent="0.3">
      <c r="A1106">
        <v>6325</v>
      </c>
      <c r="B1106" t="s">
        <v>2328</v>
      </c>
      <c r="C1106">
        <v>2015</v>
      </c>
      <c r="D1106" t="s">
        <v>399</v>
      </c>
      <c r="E1106" t="s">
        <v>13</v>
      </c>
      <c r="F1106" t="s">
        <v>43</v>
      </c>
      <c r="G1106" t="s">
        <v>15</v>
      </c>
      <c r="H1106" t="s">
        <v>16</v>
      </c>
      <c r="I1106" t="s">
        <v>2329</v>
      </c>
      <c r="J1106" t="s">
        <v>17</v>
      </c>
      <c r="K1106" t="s">
        <v>32</v>
      </c>
      <c r="L1106" t="s">
        <v>19</v>
      </c>
      <c r="M1106">
        <v>33.4</v>
      </c>
      <c r="N1106">
        <v>5</v>
      </c>
      <c r="O1106">
        <v>0</v>
      </c>
      <c r="P1106">
        <v>16.032</v>
      </c>
      <c r="Q1106" s="1">
        <v>0.48</v>
      </c>
      <c r="R1106" t="s">
        <v>4</v>
      </c>
      <c r="S1106" t="s">
        <v>394</v>
      </c>
    </row>
    <row r="1107" spans="1:19" x14ac:dyDescent="0.3">
      <c r="A1107">
        <v>6343</v>
      </c>
      <c r="B1107" t="s">
        <v>2330</v>
      </c>
      <c r="C1107">
        <v>2015</v>
      </c>
      <c r="D1107" t="s">
        <v>447</v>
      </c>
      <c r="E1107" t="s">
        <v>35</v>
      </c>
      <c r="F1107" t="s">
        <v>105</v>
      </c>
      <c r="G1107" t="s">
        <v>63</v>
      </c>
      <c r="H1107" t="s">
        <v>48</v>
      </c>
      <c r="I1107" t="s">
        <v>628</v>
      </c>
      <c r="J1107" t="s">
        <v>26</v>
      </c>
      <c r="K1107" t="s">
        <v>50</v>
      </c>
      <c r="L1107" t="s">
        <v>53</v>
      </c>
      <c r="M1107">
        <v>119.85</v>
      </c>
      <c r="N1107">
        <v>3</v>
      </c>
      <c r="O1107">
        <v>0</v>
      </c>
      <c r="P1107">
        <v>52.734000000000002</v>
      </c>
      <c r="Q1107" s="1">
        <v>0.44</v>
      </c>
      <c r="R1107" t="s">
        <v>4</v>
      </c>
      <c r="S1107" t="s">
        <v>394</v>
      </c>
    </row>
    <row r="1108" spans="1:19" x14ac:dyDescent="0.3">
      <c r="A1108">
        <v>6388</v>
      </c>
      <c r="B1108" t="s">
        <v>2331</v>
      </c>
      <c r="C1108">
        <v>2014</v>
      </c>
      <c r="D1108" t="s">
        <v>430</v>
      </c>
      <c r="E1108" t="s">
        <v>6</v>
      </c>
      <c r="F1108" t="s">
        <v>130</v>
      </c>
      <c r="G1108" t="s">
        <v>61</v>
      </c>
      <c r="H1108" t="s">
        <v>38</v>
      </c>
      <c r="I1108" t="s">
        <v>1548</v>
      </c>
      <c r="J1108" t="s">
        <v>17</v>
      </c>
      <c r="K1108" t="s">
        <v>32</v>
      </c>
      <c r="L1108" t="s">
        <v>19</v>
      </c>
      <c r="M1108">
        <v>10.56</v>
      </c>
      <c r="N1108">
        <v>2</v>
      </c>
      <c r="O1108">
        <v>0</v>
      </c>
      <c r="P1108">
        <v>4.7519999999999998</v>
      </c>
      <c r="Q1108" s="1">
        <v>0.45</v>
      </c>
      <c r="R1108" t="s">
        <v>4</v>
      </c>
      <c r="S1108" t="s">
        <v>394</v>
      </c>
    </row>
    <row r="1109" spans="1:19" x14ac:dyDescent="0.3">
      <c r="A1109">
        <v>6390</v>
      </c>
      <c r="B1109" t="s">
        <v>2332</v>
      </c>
      <c r="C1109">
        <v>2015</v>
      </c>
      <c r="D1109" t="s">
        <v>529</v>
      </c>
      <c r="E1109" t="s">
        <v>13</v>
      </c>
      <c r="F1109" t="s">
        <v>73</v>
      </c>
      <c r="G1109" t="s">
        <v>74</v>
      </c>
      <c r="H1109" t="s">
        <v>9</v>
      </c>
      <c r="I1109" t="s">
        <v>969</v>
      </c>
      <c r="J1109" t="s">
        <v>17</v>
      </c>
      <c r="K1109" t="s">
        <v>51</v>
      </c>
      <c r="L1109" t="s">
        <v>19</v>
      </c>
      <c r="M1109">
        <v>311.14999999999998</v>
      </c>
      <c r="N1109">
        <v>5</v>
      </c>
      <c r="O1109">
        <v>0</v>
      </c>
      <c r="P1109">
        <v>146.2405</v>
      </c>
      <c r="Q1109" s="1">
        <v>0.47</v>
      </c>
      <c r="R1109" t="s">
        <v>4</v>
      </c>
      <c r="S1109" t="s">
        <v>394</v>
      </c>
    </row>
    <row r="1110" spans="1:19" x14ac:dyDescent="0.3">
      <c r="A1110">
        <v>6398</v>
      </c>
      <c r="B1110" t="s">
        <v>2333</v>
      </c>
      <c r="C1110">
        <v>2017</v>
      </c>
      <c r="D1110" t="s">
        <v>399</v>
      </c>
      <c r="E1110" t="s">
        <v>35</v>
      </c>
      <c r="F1110" t="s">
        <v>126</v>
      </c>
      <c r="G1110" t="s">
        <v>37</v>
      </c>
      <c r="H1110" t="s">
        <v>38</v>
      </c>
      <c r="I1110" t="s">
        <v>652</v>
      </c>
      <c r="J1110" t="s">
        <v>17</v>
      </c>
      <c r="K1110" t="s">
        <v>25</v>
      </c>
      <c r="L1110" t="s">
        <v>19</v>
      </c>
      <c r="M1110">
        <v>5.2480000000000002</v>
      </c>
      <c r="N1110">
        <v>2</v>
      </c>
      <c r="O1110">
        <v>0.2</v>
      </c>
      <c r="P1110">
        <v>0.59040000000000004</v>
      </c>
      <c r="Q1110" s="1">
        <v>0.1125</v>
      </c>
      <c r="R1110" t="s">
        <v>4</v>
      </c>
      <c r="S1110" t="s">
        <v>408</v>
      </c>
    </row>
    <row r="1111" spans="1:19" x14ac:dyDescent="0.3">
      <c r="A1111">
        <v>6402</v>
      </c>
      <c r="B1111" t="s">
        <v>2334</v>
      </c>
      <c r="C1111">
        <v>2017</v>
      </c>
      <c r="D1111" t="s">
        <v>417</v>
      </c>
      <c r="E1111" t="s">
        <v>6</v>
      </c>
      <c r="F1111" t="s">
        <v>287</v>
      </c>
      <c r="G1111" t="s">
        <v>116</v>
      </c>
      <c r="H1111" t="s">
        <v>9</v>
      </c>
      <c r="I1111" t="s">
        <v>1479</v>
      </c>
      <c r="J1111" t="s">
        <v>10</v>
      </c>
      <c r="K1111" t="s">
        <v>11</v>
      </c>
      <c r="L1111" t="s">
        <v>53</v>
      </c>
      <c r="M1111">
        <v>241.96</v>
      </c>
      <c r="N1111">
        <v>2</v>
      </c>
      <c r="O1111">
        <v>0</v>
      </c>
      <c r="P1111">
        <v>33.874400000000001</v>
      </c>
      <c r="Q1111" s="1">
        <v>0.14000000000000001</v>
      </c>
      <c r="R1111" t="s">
        <v>4</v>
      </c>
      <c r="S1111" t="s">
        <v>394</v>
      </c>
    </row>
    <row r="1112" spans="1:19" x14ac:dyDescent="0.3">
      <c r="A1112">
        <v>6434</v>
      </c>
      <c r="B1112" t="s">
        <v>2335</v>
      </c>
      <c r="C1112">
        <v>2015</v>
      </c>
      <c r="D1112" t="s">
        <v>447</v>
      </c>
      <c r="E1112" t="s">
        <v>13</v>
      </c>
      <c r="F1112" t="s">
        <v>70</v>
      </c>
      <c r="G1112" t="s">
        <v>56</v>
      </c>
      <c r="H1112" t="s">
        <v>38</v>
      </c>
      <c r="I1112" t="s">
        <v>1932</v>
      </c>
      <c r="J1112" t="s">
        <v>17</v>
      </c>
      <c r="K1112" t="s">
        <v>32</v>
      </c>
      <c r="L1112" t="s">
        <v>19</v>
      </c>
      <c r="M1112">
        <v>23.52</v>
      </c>
      <c r="N1112">
        <v>5</v>
      </c>
      <c r="O1112">
        <v>0.2</v>
      </c>
      <c r="P1112">
        <v>8.5259999999999998</v>
      </c>
      <c r="Q1112" s="1">
        <v>0.36249999999999999</v>
      </c>
      <c r="R1112" t="s">
        <v>4</v>
      </c>
      <c r="S1112" t="s">
        <v>408</v>
      </c>
    </row>
    <row r="1113" spans="1:19" x14ac:dyDescent="0.3">
      <c r="A1113">
        <v>6471</v>
      </c>
      <c r="B1113" t="s">
        <v>2336</v>
      </c>
      <c r="C1113">
        <v>2015</v>
      </c>
      <c r="D1113" t="s">
        <v>420</v>
      </c>
      <c r="E1113" t="s">
        <v>35</v>
      </c>
      <c r="F1113" t="s">
        <v>130</v>
      </c>
      <c r="G1113" t="s">
        <v>61</v>
      </c>
      <c r="H1113" t="s">
        <v>38</v>
      </c>
      <c r="I1113" t="s">
        <v>2337</v>
      </c>
      <c r="J1113" t="s">
        <v>26</v>
      </c>
      <c r="K1113" t="s">
        <v>27</v>
      </c>
      <c r="L1113" t="s">
        <v>19</v>
      </c>
      <c r="M1113">
        <v>131.97999999999999</v>
      </c>
      <c r="N1113">
        <v>2</v>
      </c>
      <c r="O1113">
        <v>0</v>
      </c>
      <c r="P1113">
        <v>35.634599999999999</v>
      </c>
      <c r="Q1113" s="1">
        <v>0.27</v>
      </c>
      <c r="R1113" t="s">
        <v>4</v>
      </c>
      <c r="S1113" t="s">
        <v>394</v>
      </c>
    </row>
    <row r="1114" spans="1:19" x14ac:dyDescent="0.3">
      <c r="A1114">
        <v>6475</v>
      </c>
      <c r="B1114" t="s">
        <v>2338</v>
      </c>
      <c r="C1114">
        <v>2014</v>
      </c>
      <c r="D1114" t="s">
        <v>430</v>
      </c>
      <c r="E1114" t="s">
        <v>13</v>
      </c>
      <c r="F1114" t="s">
        <v>46</v>
      </c>
      <c r="G1114" t="s">
        <v>47</v>
      </c>
      <c r="H1114" t="s">
        <v>48</v>
      </c>
      <c r="I1114" t="s">
        <v>1248</v>
      </c>
      <c r="J1114" t="s">
        <v>10</v>
      </c>
      <c r="K1114" t="s">
        <v>11</v>
      </c>
      <c r="L1114" t="s">
        <v>53</v>
      </c>
      <c r="M1114">
        <v>61.96</v>
      </c>
      <c r="N1114">
        <v>4</v>
      </c>
      <c r="O1114">
        <v>0.5</v>
      </c>
      <c r="P1114">
        <v>-53.285600000000002</v>
      </c>
      <c r="Q1114" s="1">
        <v>-0.86</v>
      </c>
      <c r="R1114" t="s">
        <v>401</v>
      </c>
      <c r="S1114" t="s">
        <v>402</v>
      </c>
    </row>
    <row r="1115" spans="1:19" x14ac:dyDescent="0.3">
      <c r="A1115">
        <v>6487</v>
      </c>
      <c r="B1115" t="s">
        <v>2339</v>
      </c>
      <c r="C1115">
        <v>2015</v>
      </c>
      <c r="D1115" t="s">
        <v>447</v>
      </c>
      <c r="E1115" t="s">
        <v>6</v>
      </c>
      <c r="F1115" t="s">
        <v>179</v>
      </c>
      <c r="G1115" t="s">
        <v>31</v>
      </c>
      <c r="H1115" t="s">
        <v>9</v>
      </c>
      <c r="I1115" t="s">
        <v>2340</v>
      </c>
      <c r="J1115" t="s">
        <v>17</v>
      </c>
      <c r="K1115" t="s">
        <v>29</v>
      </c>
      <c r="L1115" t="s">
        <v>19</v>
      </c>
      <c r="M1115">
        <v>962.08</v>
      </c>
      <c r="N1115">
        <v>4</v>
      </c>
      <c r="O1115">
        <v>0.2</v>
      </c>
      <c r="P1115">
        <v>156.33799999999999</v>
      </c>
      <c r="Q1115" s="1">
        <v>0.16250000000000001</v>
      </c>
      <c r="R1115" t="s">
        <v>4</v>
      </c>
      <c r="S1115" t="s">
        <v>408</v>
      </c>
    </row>
    <row r="1116" spans="1:19" x14ac:dyDescent="0.3">
      <c r="A1116">
        <v>6491</v>
      </c>
      <c r="B1116" t="s">
        <v>2341</v>
      </c>
      <c r="C1116">
        <v>2014</v>
      </c>
      <c r="D1116" t="s">
        <v>428</v>
      </c>
      <c r="E1116" t="s">
        <v>13</v>
      </c>
      <c r="F1116" t="s">
        <v>46</v>
      </c>
      <c r="G1116" t="s">
        <v>47</v>
      </c>
      <c r="H1116" t="s">
        <v>48</v>
      </c>
      <c r="I1116" t="s">
        <v>932</v>
      </c>
      <c r="J1116" t="s">
        <v>10</v>
      </c>
      <c r="K1116" t="s">
        <v>24</v>
      </c>
      <c r="L1116" t="s">
        <v>19</v>
      </c>
      <c r="M1116">
        <v>103.93600000000001</v>
      </c>
      <c r="N1116">
        <v>4</v>
      </c>
      <c r="O1116">
        <v>0.2</v>
      </c>
      <c r="P1116">
        <v>16.889600000000002</v>
      </c>
      <c r="Q1116" s="1">
        <v>0.16250000000000001</v>
      </c>
      <c r="R1116" t="s">
        <v>4</v>
      </c>
      <c r="S1116" t="s">
        <v>408</v>
      </c>
    </row>
    <row r="1117" spans="1:19" x14ac:dyDescent="0.3">
      <c r="A1117">
        <v>6498</v>
      </c>
      <c r="B1117" t="s">
        <v>2342</v>
      </c>
      <c r="C1117">
        <v>2015</v>
      </c>
      <c r="D1117" t="s">
        <v>425</v>
      </c>
      <c r="E1117" t="s">
        <v>35</v>
      </c>
      <c r="F1117" t="s">
        <v>173</v>
      </c>
      <c r="G1117" t="s">
        <v>8</v>
      </c>
      <c r="H1117" t="s">
        <v>9</v>
      </c>
      <c r="I1117" t="s">
        <v>404</v>
      </c>
      <c r="J1117" t="s">
        <v>10</v>
      </c>
      <c r="K1117" t="s">
        <v>24</v>
      </c>
      <c r="L1117" t="s">
        <v>19</v>
      </c>
      <c r="M1117">
        <v>20.94</v>
      </c>
      <c r="N1117">
        <v>3</v>
      </c>
      <c r="O1117">
        <v>0</v>
      </c>
      <c r="P1117">
        <v>6.0726000000000004</v>
      </c>
      <c r="Q1117" s="1">
        <v>0.28999999999999998</v>
      </c>
      <c r="R1117" t="s">
        <v>4</v>
      </c>
      <c r="S1117" t="s">
        <v>394</v>
      </c>
    </row>
    <row r="1118" spans="1:19" x14ac:dyDescent="0.3">
      <c r="A1118">
        <v>6530</v>
      </c>
      <c r="B1118" t="s">
        <v>2343</v>
      </c>
      <c r="C1118">
        <v>2014</v>
      </c>
      <c r="D1118" t="s">
        <v>529</v>
      </c>
      <c r="E1118" t="s">
        <v>35</v>
      </c>
      <c r="F1118" t="s">
        <v>284</v>
      </c>
      <c r="G1118" t="s">
        <v>37</v>
      </c>
      <c r="H1118" t="s">
        <v>38</v>
      </c>
      <c r="I1118" t="s">
        <v>1208</v>
      </c>
      <c r="J1118" t="s">
        <v>17</v>
      </c>
      <c r="K1118" t="s">
        <v>18</v>
      </c>
      <c r="L1118" t="s">
        <v>19</v>
      </c>
      <c r="M1118">
        <v>6.9359999999999999</v>
      </c>
      <c r="N1118">
        <v>3</v>
      </c>
      <c r="O1118">
        <v>0.2</v>
      </c>
      <c r="P1118">
        <v>2.3409</v>
      </c>
      <c r="Q1118" s="1">
        <v>0.33750000000000002</v>
      </c>
      <c r="R1118" t="s">
        <v>4</v>
      </c>
      <c r="S1118" t="s">
        <v>408</v>
      </c>
    </row>
    <row r="1119" spans="1:19" x14ac:dyDescent="0.3">
      <c r="A1119">
        <v>6559</v>
      </c>
      <c r="B1119" t="s">
        <v>2344</v>
      </c>
      <c r="C1119">
        <v>2015</v>
      </c>
      <c r="D1119" t="s">
        <v>396</v>
      </c>
      <c r="E1119" t="s">
        <v>13</v>
      </c>
      <c r="F1119" t="s">
        <v>257</v>
      </c>
      <c r="G1119" t="s">
        <v>67</v>
      </c>
      <c r="H1119" t="s">
        <v>48</v>
      </c>
      <c r="I1119" t="s">
        <v>2345</v>
      </c>
      <c r="J1119" t="s">
        <v>10</v>
      </c>
      <c r="K1119" t="s">
        <v>12</v>
      </c>
      <c r="L1119" t="s">
        <v>19</v>
      </c>
      <c r="M1119">
        <v>1522.6379999999999</v>
      </c>
      <c r="N1119">
        <v>9</v>
      </c>
      <c r="O1119">
        <v>0.1</v>
      </c>
      <c r="P1119">
        <v>169.18199999999999</v>
      </c>
      <c r="Q1119" s="1">
        <v>0.11111111111111099</v>
      </c>
      <c r="R1119" t="s">
        <v>4</v>
      </c>
      <c r="S1119" t="s">
        <v>394</v>
      </c>
    </row>
    <row r="1120" spans="1:19" x14ac:dyDescent="0.3">
      <c r="A1120">
        <v>6563</v>
      </c>
      <c r="B1120" t="s">
        <v>2346</v>
      </c>
      <c r="C1120">
        <v>2014</v>
      </c>
      <c r="D1120" t="s">
        <v>417</v>
      </c>
      <c r="E1120" t="s">
        <v>6</v>
      </c>
      <c r="F1120" t="s">
        <v>174</v>
      </c>
      <c r="G1120" t="s">
        <v>156</v>
      </c>
      <c r="H1120" t="s">
        <v>48</v>
      </c>
      <c r="I1120" t="s">
        <v>1050</v>
      </c>
      <c r="J1120" t="s">
        <v>17</v>
      </c>
      <c r="K1120" t="s">
        <v>28</v>
      </c>
      <c r="L1120" t="s">
        <v>19</v>
      </c>
      <c r="M1120">
        <v>16.14</v>
      </c>
      <c r="N1120">
        <v>3</v>
      </c>
      <c r="O1120">
        <v>0</v>
      </c>
      <c r="P1120">
        <v>7.9085999999999999</v>
      </c>
      <c r="Q1120" s="1">
        <v>0.49</v>
      </c>
      <c r="R1120" t="s">
        <v>4</v>
      </c>
      <c r="S1120" t="s">
        <v>394</v>
      </c>
    </row>
    <row r="1121" spans="1:19" x14ac:dyDescent="0.3">
      <c r="A1121">
        <v>6567</v>
      </c>
      <c r="B1121" t="s">
        <v>2347</v>
      </c>
      <c r="C1121">
        <v>2017</v>
      </c>
      <c r="D1121" t="s">
        <v>529</v>
      </c>
      <c r="E1121" t="s">
        <v>6</v>
      </c>
      <c r="F1121" t="s">
        <v>378</v>
      </c>
      <c r="G1121" t="s">
        <v>37</v>
      </c>
      <c r="H1121" t="s">
        <v>38</v>
      </c>
      <c r="I1121" t="s">
        <v>1550</v>
      </c>
      <c r="J1121" t="s">
        <v>17</v>
      </c>
      <c r="K1121" t="s">
        <v>28</v>
      </c>
      <c r="L1121" t="s">
        <v>5</v>
      </c>
      <c r="M1121">
        <v>243.99199999999999</v>
      </c>
      <c r="N1121">
        <v>4</v>
      </c>
      <c r="O1121">
        <v>0.8</v>
      </c>
      <c r="P1121">
        <v>-426.98599999999999</v>
      </c>
      <c r="Q1121" s="1">
        <v>-1.75</v>
      </c>
      <c r="R1121" t="s">
        <v>401</v>
      </c>
      <c r="S1121" t="s">
        <v>402</v>
      </c>
    </row>
    <row r="1122" spans="1:19" x14ac:dyDescent="0.3">
      <c r="A1122">
        <v>6573</v>
      </c>
      <c r="B1122" t="s">
        <v>2348</v>
      </c>
      <c r="C1122">
        <v>2016</v>
      </c>
      <c r="D1122" t="s">
        <v>417</v>
      </c>
      <c r="E1122" t="s">
        <v>6</v>
      </c>
      <c r="F1122" t="s">
        <v>33</v>
      </c>
      <c r="G1122" t="s">
        <v>34</v>
      </c>
      <c r="H1122" t="s">
        <v>16</v>
      </c>
      <c r="I1122" t="s">
        <v>2349</v>
      </c>
      <c r="J1122" t="s">
        <v>17</v>
      </c>
      <c r="K1122" t="s">
        <v>32</v>
      </c>
      <c r="L1122" t="s">
        <v>19</v>
      </c>
      <c r="M1122">
        <v>11.96</v>
      </c>
      <c r="N1122">
        <v>2</v>
      </c>
      <c r="O1122">
        <v>0</v>
      </c>
      <c r="P1122">
        <v>5.8604000000000003</v>
      </c>
      <c r="Q1122" s="1">
        <v>0.49</v>
      </c>
      <c r="R1122" t="s">
        <v>4</v>
      </c>
      <c r="S1122" t="s">
        <v>394</v>
      </c>
    </row>
    <row r="1123" spans="1:19" x14ac:dyDescent="0.3">
      <c r="A1123">
        <v>6583</v>
      </c>
      <c r="B1123" t="s">
        <v>2350</v>
      </c>
      <c r="C1123">
        <v>2016</v>
      </c>
      <c r="D1123" t="s">
        <v>420</v>
      </c>
      <c r="E1123" t="s">
        <v>13</v>
      </c>
      <c r="F1123" t="s">
        <v>223</v>
      </c>
      <c r="G1123" t="s">
        <v>34</v>
      </c>
      <c r="H1123" t="s">
        <v>16</v>
      </c>
      <c r="I1123" t="s">
        <v>2351</v>
      </c>
      <c r="J1123" t="s">
        <v>26</v>
      </c>
      <c r="K1123" t="s">
        <v>50</v>
      </c>
      <c r="L1123" t="s">
        <v>19</v>
      </c>
      <c r="M1123">
        <v>179.97</v>
      </c>
      <c r="N1123">
        <v>3</v>
      </c>
      <c r="O1123">
        <v>0</v>
      </c>
      <c r="P1123">
        <v>86.385599999999997</v>
      </c>
      <c r="Q1123" s="1">
        <v>0.48</v>
      </c>
      <c r="R1123" t="s">
        <v>4</v>
      </c>
      <c r="S1123" t="s">
        <v>394</v>
      </c>
    </row>
    <row r="1124" spans="1:19" x14ac:dyDescent="0.3">
      <c r="A1124">
        <v>6612</v>
      </c>
      <c r="B1124" t="s">
        <v>2352</v>
      </c>
      <c r="C1124">
        <v>2015</v>
      </c>
      <c r="D1124" t="s">
        <v>406</v>
      </c>
      <c r="E1124" t="s">
        <v>6</v>
      </c>
      <c r="F1124" t="s">
        <v>173</v>
      </c>
      <c r="G1124" t="s">
        <v>8</v>
      </c>
      <c r="H1124" t="s">
        <v>9</v>
      </c>
      <c r="I1124" t="s">
        <v>2353</v>
      </c>
      <c r="J1124" t="s">
        <v>10</v>
      </c>
      <c r="K1124" t="s">
        <v>12</v>
      </c>
      <c r="L1124" t="s">
        <v>19</v>
      </c>
      <c r="M1124">
        <v>191.96</v>
      </c>
      <c r="N1124">
        <v>2</v>
      </c>
      <c r="O1124">
        <v>0</v>
      </c>
      <c r="P1124">
        <v>51.8292</v>
      </c>
      <c r="Q1124" s="1">
        <v>0.27</v>
      </c>
      <c r="R1124" t="s">
        <v>4</v>
      </c>
      <c r="S1124" t="s">
        <v>394</v>
      </c>
    </row>
    <row r="1125" spans="1:19" x14ac:dyDescent="0.3">
      <c r="A1125">
        <v>6619</v>
      </c>
      <c r="B1125" t="s">
        <v>2354</v>
      </c>
      <c r="C1125">
        <v>2017</v>
      </c>
      <c r="D1125" t="s">
        <v>430</v>
      </c>
      <c r="E1125" t="s">
        <v>13</v>
      </c>
      <c r="F1125" t="s">
        <v>73</v>
      </c>
      <c r="G1125" t="s">
        <v>103</v>
      </c>
      <c r="H1125" t="s">
        <v>38</v>
      </c>
      <c r="I1125" t="s">
        <v>2355</v>
      </c>
      <c r="J1125" t="s">
        <v>17</v>
      </c>
      <c r="K1125" t="s">
        <v>32</v>
      </c>
      <c r="L1125" t="s">
        <v>5</v>
      </c>
      <c r="M1125">
        <v>32.4</v>
      </c>
      <c r="N1125">
        <v>5</v>
      </c>
      <c r="O1125">
        <v>0</v>
      </c>
      <c r="P1125">
        <v>15.552</v>
      </c>
      <c r="Q1125" s="1">
        <v>0.48</v>
      </c>
      <c r="R1125" t="s">
        <v>4</v>
      </c>
      <c r="S1125" t="s">
        <v>394</v>
      </c>
    </row>
    <row r="1126" spans="1:19" x14ac:dyDescent="0.3">
      <c r="A1126">
        <v>6623</v>
      </c>
      <c r="B1126" t="s">
        <v>2356</v>
      </c>
      <c r="C1126">
        <v>2014</v>
      </c>
      <c r="D1126" t="s">
        <v>428</v>
      </c>
      <c r="E1126" t="s">
        <v>13</v>
      </c>
      <c r="F1126" t="s">
        <v>43</v>
      </c>
      <c r="G1126" t="s">
        <v>15</v>
      </c>
      <c r="H1126" t="s">
        <v>16</v>
      </c>
      <c r="I1126" t="s">
        <v>404</v>
      </c>
      <c r="J1126" t="s">
        <v>10</v>
      </c>
      <c r="K1126" t="s">
        <v>24</v>
      </c>
      <c r="L1126" t="s">
        <v>53</v>
      </c>
      <c r="M1126">
        <v>41.88</v>
      </c>
      <c r="N1126">
        <v>6</v>
      </c>
      <c r="O1126">
        <v>0</v>
      </c>
      <c r="P1126">
        <v>12.145200000000001</v>
      </c>
      <c r="Q1126" s="1">
        <v>0.28999999999999998</v>
      </c>
      <c r="R1126" t="s">
        <v>4</v>
      </c>
      <c r="S1126" t="s">
        <v>394</v>
      </c>
    </row>
    <row r="1127" spans="1:19" x14ac:dyDescent="0.3">
      <c r="A1127">
        <v>6625</v>
      </c>
      <c r="B1127" t="s">
        <v>2357</v>
      </c>
      <c r="C1127">
        <v>2015</v>
      </c>
      <c r="D1127" t="s">
        <v>430</v>
      </c>
      <c r="E1127" t="s">
        <v>6</v>
      </c>
      <c r="F1127" t="s">
        <v>386</v>
      </c>
      <c r="G1127" t="s">
        <v>37</v>
      </c>
      <c r="H1127" t="s">
        <v>38</v>
      </c>
      <c r="I1127" t="s">
        <v>2139</v>
      </c>
      <c r="J1127" t="s">
        <v>10</v>
      </c>
      <c r="K1127" t="s">
        <v>22</v>
      </c>
      <c r="L1127" t="s">
        <v>19</v>
      </c>
      <c r="M1127">
        <v>102.438</v>
      </c>
      <c r="N1127">
        <v>1</v>
      </c>
      <c r="O1127">
        <v>0.3</v>
      </c>
      <c r="P1127">
        <v>-13.1706</v>
      </c>
      <c r="Q1127" s="1">
        <v>-0.128571428571429</v>
      </c>
      <c r="R1127" t="s">
        <v>401</v>
      </c>
      <c r="S1127" t="s">
        <v>402</v>
      </c>
    </row>
    <row r="1128" spans="1:19" x14ac:dyDescent="0.3">
      <c r="A1128">
        <v>6671</v>
      </c>
      <c r="B1128" t="s">
        <v>2358</v>
      </c>
      <c r="C1128">
        <v>2017</v>
      </c>
      <c r="D1128" t="s">
        <v>417</v>
      </c>
      <c r="E1128" t="s">
        <v>35</v>
      </c>
      <c r="F1128" t="s">
        <v>94</v>
      </c>
      <c r="G1128" t="s">
        <v>157</v>
      </c>
      <c r="H1128" t="s">
        <v>9</v>
      </c>
      <c r="I1128" t="s">
        <v>2359</v>
      </c>
      <c r="J1128" t="s">
        <v>17</v>
      </c>
      <c r="K1128" t="s">
        <v>28</v>
      </c>
      <c r="L1128" t="s">
        <v>19</v>
      </c>
      <c r="M1128">
        <v>29.84</v>
      </c>
      <c r="N1128">
        <v>2</v>
      </c>
      <c r="O1128">
        <v>0</v>
      </c>
      <c r="P1128">
        <v>13.428000000000001</v>
      </c>
      <c r="Q1128" s="1">
        <v>0.45</v>
      </c>
      <c r="R1128" t="s">
        <v>4</v>
      </c>
      <c r="S1128" t="s">
        <v>394</v>
      </c>
    </row>
    <row r="1129" spans="1:19" x14ac:dyDescent="0.3">
      <c r="A1129">
        <v>6684</v>
      </c>
      <c r="B1129" t="s">
        <v>2360</v>
      </c>
      <c r="C1129">
        <v>2014</v>
      </c>
      <c r="D1129" t="s">
        <v>392</v>
      </c>
      <c r="E1129" t="s">
        <v>35</v>
      </c>
      <c r="F1129" t="s">
        <v>14</v>
      </c>
      <c r="G1129" t="s">
        <v>15</v>
      </c>
      <c r="H1129" t="s">
        <v>16</v>
      </c>
      <c r="I1129" t="s">
        <v>2361</v>
      </c>
      <c r="J1129" t="s">
        <v>10</v>
      </c>
      <c r="K1129" t="s">
        <v>24</v>
      </c>
      <c r="L1129" t="s">
        <v>19</v>
      </c>
      <c r="M1129">
        <v>20.04</v>
      </c>
      <c r="N1129">
        <v>6</v>
      </c>
      <c r="O1129">
        <v>0</v>
      </c>
      <c r="P1129">
        <v>8.8176000000000005</v>
      </c>
      <c r="Q1129" s="1">
        <v>0.44</v>
      </c>
      <c r="R1129" t="s">
        <v>4</v>
      </c>
      <c r="S1129" t="s">
        <v>394</v>
      </c>
    </row>
    <row r="1130" spans="1:19" x14ac:dyDescent="0.3">
      <c r="A1130">
        <v>6702</v>
      </c>
      <c r="B1130" t="s">
        <v>2362</v>
      </c>
      <c r="C1130">
        <v>2015</v>
      </c>
      <c r="D1130" t="s">
        <v>417</v>
      </c>
      <c r="E1130" t="s">
        <v>6</v>
      </c>
      <c r="F1130" t="s">
        <v>387</v>
      </c>
      <c r="G1130" t="s">
        <v>31</v>
      </c>
      <c r="H1130" t="s">
        <v>9</v>
      </c>
      <c r="I1130" t="s">
        <v>2363</v>
      </c>
      <c r="J1130" t="s">
        <v>10</v>
      </c>
      <c r="K1130" t="s">
        <v>24</v>
      </c>
      <c r="L1130" t="s">
        <v>19</v>
      </c>
      <c r="M1130">
        <v>163.136</v>
      </c>
      <c r="N1130">
        <v>4</v>
      </c>
      <c r="O1130">
        <v>0.2</v>
      </c>
      <c r="P1130">
        <v>20.391999999999999</v>
      </c>
      <c r="Q1130" s="1">
        <v>0.125</v>
      </c>
      <c r="R1130" t="s">
        <v>4</v>
      </c>
      <c r="S1130" t="s">
        <v>408</v>
      </c>
    </row>
    <row r="1131" spans="1:19" x14ac:dyDescent="0.3">
      <c r="A1131">
        <v>6733</v>
      </c>
      <c r="B1131" t="s">
        <v>2364</v>
      </c>
      <c r="C1131">
        <v>2014</v>
      </c>
      <c r="D1131" t="s">
        <v>425</v>
      </c>
      <c r="E1131" t="s">
        <v>13</v>
      </c>
      <c r="F1131" t="s">
        <v>88</v>
      </c>
      <c r="G1131" t="s">
        <v>89</v>
      </c>
      <c r="H1131" t="s">
        <v>16</v>
      </c>
      <c r="I1131" t="s">
        <v>2365</v>
      </c>
      <c r="J1131" t="s">
        <v>17</v>
      </c>
      <c r="K1131" t="s">
        <v>32</v>
      </c>
      <c r="L1131" t="s">
        <v>53</v>
      </c>
      <c r="M1131">
        <v>177.536</v>
      </c>
      <c r="N1131">
        <v>4</v>
      </c>
      <c r="O1131">
        <v>0.2</v>
      </c>
      <c r="P1131">
        <v>62.137599999999999</v>
      </c>
      <c r="Q1131" s="1">
        <v>0.35</v>
      </c>
      <c r="R1131" t="s">
        <v>4</v>
      </c>
      <c r="S1131" t="s">
        <v>408</v>
      </c>
    </row>
    <row r="1132" spans="1:19" x14ac:dyDescent="0.3">
      <c r="A1132">
        <v>6744</v>
      </c>
      <c r="B1132" t="s">
        <v>2366</v>
      </c>
      <c r="C1132">
        <v>2015</v>
      </c>
      <c r="D1132" t="s">
        <v>529</v>
      </c>
      <c r="E1132" t="s">
        <v>13</v>
      </c>
      <c r="F1132" t="s">
        <v>62</v>
      </c>
      <c r="G1132" t="s">
        <v>230</v>
      </c>
      <c r="H1132" t="s">
        <v>48</v>
      </c>
      <c r="I1132" t="s">
        <v>552</v>
      </c>
      <c r="J1132" t="s">
        <v>17</v>
      </c>
      <c r="K1132" t="s">
        <v>32</v>
      </c>
      <c r="L1132" t="s">
        <v>19</v>
      </c>
      <c r="M1132">
        <v>35.880000000000003</v>
      </c>
      <c r="N1132">
        <v>6</v>
      </c>
      <c r="O1132">
        <v>0</v>
      </c>
      <c r="P1132">
        <v>16.146000000000001</v>
      </c>
      <c r="Q1132" s="1">
        <v>0.45</v>
      </c>
      <c r="R1132" t="s">
        <v>4</v>
      </c>
      <c r="S1132" t="s">
        <v>394</v>
      </c>
    </row>
    <row r="1133" spans="1:19" x14ac:dyDescent="0.3">
      <c r="A1133">
        <v>6762</v>
      </c>
      <c r="B1133" t="s">
        <v>2367</v>
      </c>
      <c r="C1133">
        <v>2016</v>
      </c>
      <c r="D1133" t="s">
        <v>425</v>
      </c>
      <c r="E1133" t="s">
        <v>13</v>
      </c>
      <c r="F1133" t="s">
        <v>66</v>
      </c>
      <c r="G1133" t="s">
        <v>67</v>
      </c>
      <c r="H1133" t="s">
        <v>48</v>
      </c>
      <c r="I1133" t="s">
        <v>2368</v>
      </c>
      <c r="J1133" t="s">
        <v>10</v>
      </c>
      <c r="K1133" t="s">
        <v>12</v>
      </c>
      <c r="L1133" t="s">
        <v>5</v>
      </c>
      <c r="M1133">
        <v>253.76400000000001</v>
      </c>
      <c r="N1133">
        <v>2</v>
      </c>
      <c r="O1133">
        <v>0.1</v>
      </c>
      <c r="P1133">
        <v>31.015599999999999</v>
      </c>
      <c r="Q1133" s="1">
        <v>0.122222222222222</v>
      </c>
      <c r="R1133" t="s">
        <v>4</v>
      </c>
      <c r="S1133" t="s">
        <v>394</v>
      </c>
    </row>
    <row r="1134" spans="1:19" x14ac:dyDescent="0.3">
      <c r="A1134">
        <v>6769</v>
      </c>
      <c r="B1134" t="s">
        <v>2369</v>
      </c>
      <c r="C1134">
        <v>2014</v>
      </c>
      <c r="D1134" t="s">
        <v>420</v>
      </c>
      <c r="E1134" t="s">
        <v>13</v>
      </c>
      <c r="F1134" t="s">
        <v>144</v>
      </c>
      <c r="G1134" t="s">
        <v>123</v>
      </c>
      <c r="H1134" t="s">
        <v>48</v>
      </c>
      <c r="I1134" t="s">
        <v>2370</v>
      </c>
      <c r="J1134" t="s">
        <v>17</v>
      </c>
      <c r="K1134" t="s">
        <v>28</v>
      </c>
      <c r="L1134" t="s">
        <v>19</v>
      </c>
      <c r="M1134">
        <v>196.21</v>
      </c>
      <c r="N1134">
        <v>7</v>
      </c>
      <c r="O1134">
        <v>0</v>
      </c>
      <c r="P1134">
        <v>98.105000000000004</v>
      </c>
      <c r="Q1134" s="1">
        <v>0.5</v>
      </c>
      <c r="R1134" t="s">
        <v>4</v>
      </c>
      <c r="S1134" t="s">
        <v>394</v>
      </c>
    </row>
    <row r="1135" spans="1:19" x14ac:dyDescent="0.3">
      <c r="A1135">
        <v>6849</v>
      </c>
      <c r="B1135" t="s">
        <v>2371</v>
      </c>
      <c r="C1135">
        <v>2016</v>
      </c>
      <c r="D1135" t="s">
        <v>396</v>
      </c>
      <c r="E1135" t="s">
        <v>6</v>
      </c>
      <c r="F1135" t="s">
        <v>379</v>
      </c>
      <c r="G1135" t="s">
        <v>56</v>
      </c>
      <c r="H1135" t="s">
        <v>38</v>
      </c>
      <c r="I1135" t="s">
        <v>2372</v>
      </c>
      <c r="J1135" t="s">
        <v>17</v>
      </c>
      <c r="K1135" t="s">
        <v>32</v>
      </c>
      <c r="L1135" t="s">
        <v>53</v>
      </c>
      <c r="M1135">
        <v>76.864000000000004</v>
      </c>
      <c r="N1135">
        <v>2</v>
      </c>
      <c r="O1135">
        <v>0.2</v>
      </c>
      <c r="P1135">
        <v>26.9024</v>
      </c>
      <c r="Q1135" s="1">
        <v>0.35</v>
      </c>
      <c r="R1135" t="s">
        <v>4</v>
      </c>
      <c r="S1135" t="s">
        <v>408</v>
      </c>
    </row>
    <row r="1136" spans="1:19" x14ac:dyDescent="0.3">
      <c r="A1136">
        <v>6851</v>
      </c>
      <c r="B1136" t="s">
        <v>2373</v>
      </c>
      <c r="C1136">
        <v>2016</v>
      </c>
      <c r="D1136" t="s">
        <v>430</v>
      </c>
      <c r="E1136" t="s">
        <v>13</v>
      </c>
      <c r="F1136" t="s">
        <v>106</v>
      </c>
      <c r="G1136" t="s">
        <v>40</v>
      </c>
      <c r="H1136" t="s">
        <v>38</v>
      </c>
      <c r="I1136" t="s">
        <v>2374</v>
      </c>
      <c r="J1136" t="s">
        <v>10</v>
      </c>
      <c r="K1136" t="s">
        <v>11</v>
      </c>
      <c r="L1136" t="s">
        <v>19</v>
      </c>
      <c r="M1136">
        <v>1565.88</v>
      </c>
      <c r="N1136">
        <v>6</v>
      </c>
      <c r="O1136">
        <v>0</v>
      </c>
      <c r="P1136">
        <v>407.12880000000001</v>
      </c>
      <c r="Q1136" s="1">
        <v>0.26</v>
      </c>
      <c r="R1136" t="s">
        <v>4</v>
      </c>
      <c r="S1136" t="s">
        <v>394</v>
      </c>
    </row>
    <row r="1137" spans="1:19" x14ac:dyDescent="0.3">
      <c r="A1137">
        <v>6873</v>
      </c>
      <c r="B1137" t="s">
        <v>2375</v>
      </c>
      <c r="C1137">
        <v>2015</v>
      </c>
      <c r="D1137" t="s">
        <v>410</v>
      </c>
      <c r="E1137" t="s">
        <v>6</v>
      </c>
      <c r="F1137" t="s">
        <v>33</v>
      </c>
      <c r="G1137" t="s">
        <v>34</v>
      </c>
      <c r="H1137" t="s">
        <v>16</v>
      </c>
      <c r="I1137" t="s">
        <v>2127</v>
      </c>
      <c r="J1137" t="s">
        <v>17</v>
      </c>
      <c r="K1137" t="s">
        <v>32</v>
      </c>
      <c r="L1137" t="s">
        <v>53</v>
      </c>
      <c r="M1137">
        <v>4.9800000000000004</v>
      </c>
      <c r="N1137">
        <v>1</v>
      </c>
      <c r="O1137">
        <v>0</v>
      </c>
      <c r="P1137">
        <v>2.3405999999999998</v>
      </c>
      <c r="Q1137" s="1">
        <v>0.47</v>
      </c>
      <c r="R1137" t="s">
        <v>4</v>
      </c>
      <c r="S1137" t="s">
        <v>394</v>
      </c>
    </row>
    <row r="1138" spans="1:19" x14ac:dyDescent="0.3">
      <c r="A1138">
        <v>6874</v>
      </c>
      <c r="B1138" t="s">
        <v>2376</v>
      </c>
      <c r="C1138">
        <v>2014</v>
      </c>
      <c r="D1138" t="s">
        <v>399</v>
      </c>
      <c r="E1138" t="s">
        <v>6</v>
      </c>
      <c r="F1138" t="s">
        <v>388</v>
      </c>
      <c r="G1138" t="s">
        <v>37</v>
      </c>
      <c r="H1138" t="s">
        <v>38</v>
      </c>
      <c r="I1138" t="s">
        <v>2225</v>
      </c>
      <c r="J1138" t="s">
        <v>17</v>
      </c>
      <c r="K1138" t="s">
        <v>28</v>
      </c>
      <c r="L1138" t="s">
        <v>5</v>
      </c>
      <c r="M1138">
        <v>10.78</v>
      </c>
      <c r="N1138">
        <v>5</v>
      </c>
      <c r="O1138">
        <v>0.8</v>
      </c>
      <c r="P1138">
        <v>-17.248000000000001</v>
      </c>
      <c r="Q1138" s="1">
        <v>-1.6</v>
      </c>
      <c r="R1138" t="s">
        <v>401</v>
      </c>
      <c r="S1138" t="s">
        <v>402</v>
      </c>
    </row>
    <row r="1139" spans="1:19" x14ac:dyDescent="0.3">
      <c r="A1139">
        <v>6899</v>
      </c>
      <c r="B1139" t="s">
        <v>2377</v>
      </c>
      <c r="C1139">
        <v>2015</v>
      </c>
      <c r="D1139" t="s">
        <v>417</v>
      </c>
      <c r="E1139" t="s">
        <v>6</v>
      </c>
      <c r="F1139" t="s">
        <v>55</v>
      </c>
      <c r="G1139" t="s">
        <v>56</v>
      </c>
      <c r="H1139" t="s">
        <v>38</v>
      </c>
      <c r="I1139" t="s">
        <v>1279</v>
      </c>
      <c r="J1139" t="s">
        <v>10</v>
      </c>
      <c r="K1139" t="s">
        <v>12</v>
      </c>
      <c r="L1139" t="s">
        <v>5</v>
      </c>
      <c r="M1139">
        <v>602.65099999999995</v>
      </c>
      <c r="N1139">
        <v>7</v>
      </c>
      <c r="O1139">
        <v>0.3</v>
      </c>
      <c r="P1139">
        <v>-163.57669999999999</v>
      </c>
      <c r="Q1139" s="1">
        <v>-0.27142857142857102</v>
      </c>
      <c r="R1139" t="s">
        <v>401</v>
      </c>
      <c r="S1139" t="s">
        <v>402</v>
      </c>
    </row>
    <row r="1140" spans="1:19" x14ac:dyDescent="0.3">
      <c r="A1140">
        <v>6902</v>
      </c>
      <c r="B1140" t="s">
        <v>2378</v>
      </c>
      <c r="C1140">
        <v>2017</v>
      </c>
      <c r="D1140" t="s">
        <v>425</v>
      </c>
      <c r="E1140" t="s">
        <v>13</v>
      </c>
      <c r="F1140" t="s">
        <v>171</v>
      </c>
      <c r="G1140" t="s">
        <v>15</v>
      </c>
      <c r="H1140" t="s">
        <v>16</v>
      </c>
      <c r="I1140" t="s">
        <v>2379</v>
      </c>
      <c r="J1140" t="s">
        <v>26</v>
      </c>
      <c r="K1140" t="s">
        <v>152</v>
      </c>
      <c r="L1140" t="s">
        <v>158</v>
      </c>
      <c r="M1140">
        <v>2399.96</v>
      </c>
      <c r="N1140">
        <v>5</v>
      </c>
      <c r="O1140">
        <v>0.2</v>
      </c>
      <c r="P1140">
        <v>839.98599999999999</v>
      </c>
      <c r="Q1140" s="1">
        <v>0.35</v>
      </c>
      <c r="R1140" t="s">
        <v>4</v>
      </c>
      <c r="S1140" t="s">
        <v>408</v>
      </c>
    </row>
    <row r="1141" spans="1:19" x14ac:dyDescent="0.3">
      <c r="A1141">
        <v>6906</v>
      </c>
      <c r="B1141" t="s">
        <v>2380</v>
      </c>
      <c r="C1141">
        <v>2017</v>
      </c>
      <c r="D1141" t="s">
        <v>410</v>
      </c>
      <c r="E1141" t="s">
        <v>13</v>
      </c>
      <c r="F1141" t="s">
        <v>135</v>
      </c>
      <c r="G1141" t="s">
        <v>15</v>
      </c>
      <c r="H1141" t="s">
        <v>16</v>
      </c>
      <c r="I1141" t="s">
        <v>2381</v>
      </c>
      <c r="J1141" t="s">
        <v>17</v>
      </c>
      <c r="K1141" t="s">
        <v>23</v>
      </c>
      <c r="L1141" t="s">
        <v>5</v>
      </c>
      <c r="M1141">
        <v>10.68</v>
      </c>
      <c r="N1141">
        <v>1</v>
      </c>
      <c r="O1141">
        <v>0</v>
      </c>
      <c r="P1141">
        <v>2.8835999999999999</v>
      </c>
      <c r="Q1141" s="1">
        <v>0.27</v>
      </c>
      <c r="R1141" t="s">
        <v>4</v>
      </c>
      <c r="S1141" t="s">
        <v>394</v>
      </c>
    </row>
    <row r="1142" spans="1:19" x14ac:dyDescent="0.3">
      <c r="A1142">
        <v>6969</v>
      </c>
      <c r="B1142" t="s">
        <v>2382</v>
      </c>
      <c r="C1142">
        <v>2015</v>
      </c>
      <c r="D1142" t="s">
        <v>399</v>
      </c>
      <c r="E1142" t="s">
        <v>13</v>
      </c>
      <c r="F1142" t="s">
        <v>66</v>
      </c>
      <c r="G1142" t="s">
        <v>67</v>
      </c>
      <c r="H1142" t="s">
        <v>48</v>
      </c>
      <c r="I1142" t="s">
        <v>1227</v>
      </c>
      <c r="J1142" t="s">
        <v>26</v>
      </c>
      <c r="K1142" t="s">
        <v>27</v>
      </c>
      <c r="L1142" t="s">
        <v>5</v>
      </c>
      <c r="M1142">
        <v>824.97</v>
      </c>
      <c r="N1142">
        <v>3</v>
      </c>
      <c r="O1142">
        <v>0</v>
      </c>
      <c r="P1142">
        <v>214.4922</v>
      </c>
      <c r="Q1142" s="1">
        <v>0.26</v>
      </c>
      <c r="R1142" t="s">
        <v>4</v>
      </c>
      <c r="S1142" t="s">
        <v>394</v>
      </c>
    </row>
    <row r="1143" spans="1:19" x14ac:dyDescent="0.3">
      <c r="A1143">
        <v>6976</v>
      </c>
      <c r="B1143" t="s">
        <v>2383</v>
      </c>
      <c r="C1143">
        <v>2015</v>
      </c>
      <c r="D1143" t="s">
        <v>396</v>
      </c>
      <c r="E1143" t="s">
        <v>13</v>
      </c>
      <c r="F1143" t="s">
        <v>71</v>
      </c>
      <c r="G1143" t="s">
        <v>72</v>
      </c>
      <c r="H1143" t="s">
        <v>16</v>
      </c>
      <c r="I1143" t="s">
        <v>1505</v>
      </c>
      <c r="J1143" t="s">
        <v>17</v>
      </c>
      <c r="K1143" t="s">
        <v>18</v>
      </c>
      <c r="L1143" t="s">
        <v>19</v>
      </c>
      <c r="M1143">
        <v>5.9039999999999999</v>
      </c>
      <c r="N1143">
        <v>2</v>
      </c>
      <c r="O1143">
        <v>0.2</v>
      </c>
      <c r="P1143">
        <v>1.9925999999999999</v>
      </c>
      <c r="Q1143" s="1">
        <v>0.33750000000000002</v>
      </c>
      <c r="R1143" t="s">
        <v>4</v>
      </c>
      <c r="S1143" t="s">
        <v>408</v>
      </c>
    </row>
    <row r="1144" spans="1:19" x14ac:dyDescent="0.3">
      <c r="A1144">
        <v>6999</v>
      </c>
      <c r="B1144" t="s">
        <v>2384</v>
      </c>
      <c r="C1144">
        <v>2016</v>
      </c>
      <c r="D1144" t="s">
        <v>428</v>
      </c>
      <c r="E1144" t="s">
        <v>35</v>
      </c>
      <c r="F1144" t="s">
        <v>278</v>
      </c>
      <c r="G1144" t="s">
        <v>15</v>
      </c>
      <c r="H1144" t="s">
        <v>16</v>
      </c>
      <c r="I1144" t="s">
        <v>2385</v>
      </c>
      <c r="J1144" t="s">
        <v>17</v>
      </c>
      <c r="K1144" t="s">
        <v>32</v>
      </c>
      <c r="L1144" t="s">
        <v>19</v>
      </c>
      <c r="M1144">
        <v>12.96</v>
      </c>
      <c r="N1144">
        <v>2</v>
      </c>
      <c r="O1144">
        <v>0</v>
      </c>
      <c r="P1144">
        <v>6.3503999999999996</v>
      </c>
      <c r="Q1144" s="1">
        <v>0.49</v>
      </c>
      <c r="R1144" t="s">
        <v>4</v>
      </c>
      <c r="S1144" t="s">
        <v>394</v>
      </c>
    </row>
    <row r="1145" spans="1:19" x14ac:dyDescent="0.3">
      <c r="A1145">
        <v>7000</v>
      </c>
      <c r="B1145" t="s">
        <v>2386</v>
      </c>
      <c r="C1145">
        <v>2017</v>
      </c>
      <c r="D1145" t="s">
        <v>417</v>
      </c>
      <c r="E1145" t="s">
        <v>13</v>
      </c>
      <c r="F1145" t="s">
        <v>173</v>
      </c>
      <c r="G1145" t="s">
        <v>8</v>
      </c>
      <c r="H1145" t="s">
        <v>9</v>
      </c>
      <c r="I1145" t="s">
        <v>2387</v>
      </c>
      <c r="J1145" t="s">
        <v>17</v>
      </c>
      <c r="K1145" t="s">
        <v>29</v>
      </c>
      <c r="L1145" t="s">
        <v>53</v>
      </c>
      <c r="M1145">
        <v>208.44</v>
      </c>
      <c r="N1145">
        <v>3</v>
      </c>
      <c r="O1145">
        <v>0</v>
      </c>
      <c r="P1145">
        <v>62.531999999999996</v>
      </c>
      <c r="Q1145" s="1">
        <v>0.3</v>
      </c>
      <c r="R1145" t="s">
        <v>4</v>
      </c>
      <c r="S1145" t="s">
        <v>394</v>
      </c>
    </row>
    <row r="1146" spans="1:19" x14ac:dyDescent="0.3">
      <c r="A1146">
        <v>7065</v>
      </c>
      <c r="B1146" t="s">
        <v>2388</v>
      </c>
      <c r="C1146">
        <v>2017</v>
      </c>
      <c r="D1146" t="s">
        <v>529</v>
      </c>
      <c r="E1146" t="s">
        <v>6</v>
      </c>
      <c r="F1146" t="s">
        <v>83</v>
      </c>
      <c r="G1146" t="s">
        <v>67</v>
      </c>
      <c r="H1146" t="s">
        <v>48</v>
      </c>
      <c r="I1146" t="s">
        <v>2279</v>
      </c>
      <c r="J1146" t="s">
        <v>17</v>
      </c>
      <c r="K1146" t="s">
        <v>29</v>
      </c>
      <c r="L1146" t="s">
        <v>19</v>
      </c>
      <c r="M1146">
        <v>32.67</v>
      </c>
      <c r="N1146">
        <v>3</v>
      </c>
      <c r="O1146">
        <v>0</v>
      </c>
      <c r="P1146">
        <v>8.4941999999999993</v>
      </c>
      <c r="Q1146" s="1">
        <v>0.26</v>
      </c>
      <c r="R1146" t="s">
        <v>4</v>
      </c>
      <c r="S1146" t="s">
        <v>394</v>
      </c>
    </row>
    <row r="1147" spans="1:19" x14ac:dyDescent="0.3">
      <c r="A1147">
        <v>7091</v>
      </c>
      <c r="B1147" t="s">
        <v>2389</v>
      </c>
      <c r="C1147">
        <v>2015</v>
      </c>
      <c r="D1147" t="s">
        <v>430</v>
      </c>
      <c r="E1147" t="s">
        <v>6</v>
      </c>
      <c r="F1147" t="s">
        <v>7</v>
      </c>
      <c r="G1147" t="s">
        <v>8</v>
      </c>
      <c r="H1147" t="s">
        <v>9</v>
      </c>
      <c r="I1147" t="s">
        <v>1137</v>
      </c>
      <c r="J1147" t="s">
        <v>17</v>
      </c>
      <c r="K1147" t="s">
        <v>32</v>
      </c>
      <c r="L1147" t="s">
        <v>19</v>
      </c>
      <c r="M1147">
        <v>106.32</v>
      </c>
      <c r="N1147">
        <v>3</v>
      </c>
      <c r="O1147">
        <v>0</v>
      </c>
      <c r="P1147">
        <v>49.970399999999998</v>
      </c>
      <c r="Q1147" s="1">
        <v>0.47</v>
      </c>
      <c r="R1147" t="s">
        <v>4</v>
      </c>
      <c r="S1147" t="s">
        <v>394</v>
      </c>
    </row>
    <row r="1148" spans="1:19" x14ac:dyDescent="0.3">
      <c r="A1148">
        <v>7096</v>
      </c>
      <c r="B1148" t="s">
        <v>2390</v>
      </c>
      <c r="C1148">
        <v>2016</v>
      </c>
      <c r="D1148" t="s">
        <v>420</v>
      </c>
      <c r="E1148" t="s">
        <v>6</v>
      </c>
      <c r="F1148" t="s">
        <v>66</v>
      </c>
      <c r="G1148" t="s">
        <v>67</v>
      </c>
      <c r="H1148" t="s">
        <v>48</v>
      </c>
      <c r="I1148" t="s">
        <v>1889</v>
      </c>
      <c r="J1148" t="s">
        <v>17</v>
      </c>
      <c r="K1148" t="s">
        <v>28</v>
      </c>
      <c r="L1148" t="s">
        <v>53</v>
      </c>
      <c r="M1148">
        <v>146.68799999999999</v>
      </c>
      <c r="N1148">
        <v>6</v>
      </c>
      <c r="O1148">
        <v>0.2</v>
      </c>
      <c r="P1148">
        <v>55.008000000000003</v>
      </c>
      <c r="Q1148" s="1">
        <v>0.375</v>
      </c>
      <c r="R1148" t="s">
        <v>4</v>
      </c>
      <c r="S1148" t="s">
        <v>408</v>
      </c>
    </row>
    <row r="1149" spans="1:19" x14ac:dyDescent="0.3">
      <c r="A1149">
        <v>7102</v>
      </c>
      <c r="B1149" t="s">
        <v>2391</v>
      </c>
      <c r="C1149">
        <v>2016</v>
      </c>
      <c r="D1149" t="s">
        <v>420</v>
      </c>
      <c r="E1149" t="s">
        <v>13</v>
      </c>
      <c r="F1149" t="s">
        <v>183</v>
      </c>
      <c r="G1149" t="s">
        <v>37</v>
      </c>
      <c r="H1149" t="s">
        <v>38</v>
      </c>
      <c r="I1149" t="s">
        <v>435</v>
      </c>
      <c r="J1149" t="s">
        <v>17</v>
      </c>
      <c r="K1149" t="s">
        <v>32</v>
      </c>
      <c r="L1149" t="s">
        <v>5</v>
      </c>
      <c r="M1149">
        <v>19.648</v>
      </c>
      <c r="N1149">
        <v>2</v>
      </c>
      <c r="O1149">
        <v>0.2</v>
      </c>
      <c r="P1149">
        <v>6.6311999999999998</v>
      </c>
      <c r="Q1149" s="1">
        <v>0.33750000000000002</v>
      </c>
      <c r="R1149" t="s">
        <v>4</v>
      </c>
      <c r="S1149" t="s">
        <v>408</v>
      </c>
    </row>
    <row r="1150" spans="1:19" x14ac:dyDescent="0.3">
      <c r="A1150">
        <v>7153</v>
      </c>
      <c r="B1150" t="s">
        <v>2392</v>
      </c>
      <c r="C1150">
        <v>2014</v>
      </c>
      <c r="D1150" t="s">
        <v>399</v>
      </c>
      <c r="E1150" t="s">
        <v>13</v>
      </c>
      <c r="F1150" t="s">
        <v>179</v>
      </c>
      <c r="G1150" t="s">
        <v>31</v>
      </c>
      <c r="H1150" t="s">
        <v>9</v>
      </c>
      <c r="I1150" t="s">
        <v>920</v>
      </c>
      <c r="J1150" t="s">
        <v>17</v>
      </c>
      <c r="K1150" t="s">
        <v>32</v>
      </c>
      <c r="L1150" t="s">
        <v>19</v>
      </c>
      <c r="M1150">
        <v>88.768000000000001</v>
      </c>
      <c r="N1150">
        <v>2</v>
      </c>
      <c r="O1150">
        <v>0.2</v>
      </c>
      <c r="P1150">
        <v>31.0688</v>
      </c>
      <c r="Q1150" s="1">
        <v>0.35</v>
      </c>
      <c r="R1150" t="s">
        <v>4</v>
      </c>
      <c r="S1150" t="s">
        <v>408</v>
      </c>
    </row>
    <row r="1151" spans="1:19" x14ac:dyDescent="0.3">
      <c r="A1151">
        <v>7160</v>
      </c>
      <c r="B1151" t="s">
        <v>2393</v>
      </c>
      <c r="C1151">
        <v>2015</v>
      </c>
      <c r="D1151" t="s">
        <v>417</v>
      </c>
      <c r="E1151" t="s">
        <v>35</v>
      </c>
      <c r="F1151" t="s">
        <v>70</v>
      </c>
      <c r="G1151" t="s">
        <v>56</v>
      </c>
      <c r="H1151" t="s">
        <v>38</v>
      </c>
      <c r="I1151" t="s">
        <v>2271</v>
      </c>
      <c r="J1151" t="s">
        <v>26</v>
      </c>
      <c r="K1151" t="s">
        <v>27</v>
      </c>
      <c r="L1151" t="s">
        <v>5</v>
      </c>
      <c r="M1151">
        <v>222.38399999999999</v>
      </c>
      <c r="N1151">
        <v>2</v>
      </c>
      <c r="O1151">
        <v>0.2</v>
      </c>
      <c r="P1151">
        <v>16.678799999999999</v>
      </c>
      <c r="Q1151" s="1">
        <v>7.4999999999999997E-2</v>
      </c>
      <c r="R1151" t="s">
        <v>4</v>
      </c>
      <c r="S1151" t="s">
        <v>408</v>
      </c>
    </row>
    <row r="1152" spans="1:19" x14ac:dyDescent="0.3">
      <c r="A1152">
        <v>7164</v>
      </c>
      <c r="B1152" t="s">
        <v>2394</v>
      </c>
      <c r="C1152">
        <v>2014</v>
      </c>
      <c r="D1152" t="s">
        <v>406</v>
      </c>
      <c r="E1152" t="s">
        <v>13</v>
      </c>
      <c r="F1152" t="s">
        <v>69</v>
      </c>
      <c r="G1152" t="s">
        <v>67</v>
      </c>
      <c r="H1152" t="s">
        <v>48</v>
      </c>
      <c r="I1152" t="s">
        <v>2395</v>
      </c>
      <c r="J1152" t="s">
        <v>17</v>
      </c>
      <c r="K1152" t="s">
        <v>51</v>
      </c>
      <c r="L1152" t="s">
        <v>5</v>
      </c>
      <c r="M1152">
        <v>247.84</v>
      </c>
      <c r="N1152">
        <v>8</v>
      </c>
      <c r="O1152">
        <v>0</v>
      </c>
      <c r="P1152">
        <v>121.44159999999999</v>
      </c>
      <c r="Q1152" s="1">
        <v>0.49</v>
      </c>
      <c r="R1152" t="s">
        <v>4</v>
      </c>
      <c r="S1152" t="s">
        <v>394</v>
      </c>
    </row>
    <row r="1153" spans="1:19" x14ac:dyDescent="0.3">
      <c r="A1153">
        <v>7194</v>
      </c>
      <c r="B1153" t="s">
        <v>2396</v>
      </c>
      <c r="C1153">
        <v>2016</v>
      </c>
      <c r="D1153" t="s">
        <v>529</v>
      </c>
      <c r="E1153" t="s">
        <v>6</v>
      </c>
      <c r="F1153" t="s">
        <v>189</v>
      </c>
      <c r="G1153" t="s">
        <v>157</v>
      </c>
      <c r="H1153" t="s">
        <v>9</v>
      </c>
      <c r="I1153" t="s">
        <v>2397</v>
      </c>
      <c r="J1153" t="s">
        <v>17</v>
      </c>
      <c r="K1153" t="s">
        <v>23</v>
      </c>
      <c r="L1153" t="s">
        <v>53</v>
      </c>
      <c r="M1153">
        <v>1350.12</v>
      </c>
      <c r="N1153">
        <v>6</v>
      </c>
      <c r="O1153">
        <v>0</v>
      </c>
      <c r="P1153">
        <v>175.51560000000001</v>
      </c>
      <c r="Q1153" s="1">
        <v>0.13</v>
      </c>
      <c r="R1153" t="s">
        <v>4</v>
      </c>
      <c r="S1153" t="s">
        <v>394</v>
      </c>
    </row>
    <row r="1154" spans="1:19" x14ac:dyDescent="0.3">
      <c r="A1154">
        <v>7221</v>
      </c>
      <c r="B1154" t="s">
        <v>2398</v>
      </c>
      <c r="C1154">
        <v>2017</v>
      </c>
      <c r="D1154" t="s">
        <v>430</v>
      </c>
      <c r="E1154" t="s">
        <v>6</v>
      </c>
      <c r="F1154" t="s">
        <v>46</v>
      </c>
      <c r="G1154" t="s">
        <v>47</v>
      </c>
      <c r="H1154" t="s">
        <v>48</v>
      </c>
      <c r="I1154" t="s">
        <v>1550</v>
      </c>
      <c r="J1154" t="s">
        <v>17</v>
      </c>
      <c r="K1154" t="s">
        <v>28</v>
      </c>
      <c r="L1154" t="s">
        <v>19</v>
      </c>
      <c r="M1154">
        <v>274.49099999999999</v>
      </c>
      <c r="N1154">
        <v>3</v>
      </c>
      <c r="O1154">
        <v>0.7</v>
      </c>
      <c r="P1154">
        <v>-228.74250000000001</v>
      </c>
      <c r="Q1154" s="1">
        <v>-0.83333333333333404</v>
      </c>
      <c r="R1154" t="s">
        <v>401</v>
      </c>
      <c r="S1154" t="s">
        <v>402</v>
      </c>
    </row>
    <row r="1155" spans="1:19" x14ac:dyDescent="0.3">
      <c r="A1155">
        <v>7267</v>
      </c>
      <c r="B1155" t="s">
        <v>2399</v>
      </c>
      <c r="C1155">
        <v>2017</v>
      </c>
      <c r="D1155" t="s">
        <v>420</v>
      </c>
      <c r="E1155" t="s">
        <v>6</v>
      </c>
      <c r="F1155" t="s">
        <v>81</v>
      </c>
      <c r="G1155" t="s">
        <v>77</v>
      </c>
      <c r="H1155" t="s">
        <v>9</v>
      </c>
      <c r="I1155" t="s">
        <v>2359</v>
      </c>
      <c r="J1155" t="s">
        <v>17</v>
      </c>
      <c r="K1155" t="s">
        <v>28</v>
      </c>
      <c r="L1155" t="s">
        <v>158</v>
      </c>
      <c r="M1155">
        <v>13.428000000000001</v>
      </c>
      <c r="N1155">
        <v>3</v>
      </c>
      <c r="O1155">
        <v>0.7</v>
      </c>
      <c r="P1155">
        <v>-11.19</v>
      </c>
      <c r="Q1155" s="1">
        <v>-0.83333333333333304</v>
      </c>
      <c r="R1155" t="s">
        <v>401</v>
      </c>
      <c r="S1155" t="s">
        <v>402</v>
      </c>
    </row>
    <row r="1156" spans="1:19" x14ac:dyDescent="0.3">
      <c r="A1156">
        <v>7269</v>
      </c>
      <c r="B1156" t="s">
        <v>2400</v>
      </c>
      <c r="C1156">
        <v>2016</v>
      </c>
      <c r="D1156" t="s">
        <v>430</v>
      </c>
      <c r="E1156" t="s">
        <v>6</v>
      </c>
      <c r="F1156" t="s">
        <v>30</v>
      </c>
      <c r="G1156" t="s">
        <v>31</v>
      </c>
      <c r="H1156" t="s">
        <v>9</v>
      </c>
      <c r="I1156" t="s">
        <v>2401</v>
      </c>
      <c r="J1156" t="s">
        <v>17</v>
      </c>
      <c r="K1156" t="s">
        <v>32</v>
      </c>
      <c r="L1156" t="s">
        <v>19</v>
      </c>
      <c r="M1156">
        <v>89.567999999999998</v>
      </c>
      <c r="N1156">
        <v>2</v>
      </c>
      <c r="O1156">
        <v>0.2</v>
      </c>
      <c r="P1156">
        <v>32.468400000000003</v>
      </c>
      <c r="Q1156" s="1">
        <v>0.36249999999999999</v>
      </c>
      <c r="R1156" t="s">
        <v>4</v>
      </c>
      <c r="S1156" t="s">
        <v>408</v>
      </c>
    </row>
    <row r="1157" spans="1:19" x14ac:dyDescent="0.3">
      <c r="A1157">
        <v>7273</v>
      </c>
      <c r="B1157" t="s">
        <v>2402</v>
      </c>
      <c r="C1157">
        <v>2016</v>
      </c>
      <c r="D1157" t="s">
        <v>399</v>
      </c>
      <c r="E1157" t="s">
        <v>13</v>
      </c>
      <c r="F1157" t="s">
        <v>291</v>
      </c>
      <c r="G1157" t="s">
        <v>31</v>
      </c>
      <c r="H1157" t="s">
        <v>9</v>
      </c>
      <c r="I1157" t="s">
        <v>851</v>
      </c>
      <c r="J1157" t="s">
        <v>17</v>
      </c>
      <c r="K1157" t="s">
        <v>101</v>
      </c>
      <c r="L1157" t="s">
        <v>19</v>
      </c>
      <c r="M1157">
        <v>20.608000000000001</v>
      </c>
      <c r="N1157">
        <v>2</v>
      </c>
      <c r="O1157">
        <v>0.2</v>
      </c>
      <c r="P1157">
        <v>-4.3792</v>
      </c>
      <c r="Q1157" s="1">
        <v>-0.21249999999999999</v>
      </c>
      <c r="R1157" t="s">
        <v>401</v>
      </c>
      <c r="S1157" t="s">
        <v>408</v>
      </c>
    </row>
    <row r="1158" spans="1:19" x14ac:dyDescent="0.3">
      <c r="A1158">
        <v>7294</v>
      </c>
      <c r="B1158" t="s">
        <v>2403</v>
      </c>
      <c r="C1158">
        <v>2016</v>
      </c>
      <c r="D1158" t="s">
        <v>430</v>
      </c>
      <c r="E1158" t="s">
        <v>6</v>
      </c>
      <c r="F1158" t="s">
        <v>14</v>
      </c>
      <c r="G1158" t="s">
        <v>15</v>
      </c>
      <c r="H1158" t="s">
        <v>16</v>
      </c>
      <c r="I1158" t="s">
        <v>2404</v>
      </c>
      <c r="J1158" t="s">
        <v>10</v>
      </c>
      <c r="K1158" t="s">
        <v>24</v>
      </c>
      <c r="L1158" t="s">
        <v>19</v>
      </c>
      <c r="M1158">
        <v>59.99</v>
      </c>
      <c r="N1158">
        <v>7</v>
      </c>
      <c r="O1158">
        <v>0</v>
      </c>
      <c r="P1158">
        <v>21.596399999999999</v>
      </c>
      <c r="Q1158" s="1">
        <v>0.36</v>
      </c>
      <c r="R1158" t="s">
        <v>4</v>
      </c>
      <c r="S1158" t="s">
        <v>394</v>
      </c>
    </row>
    <row r="1159" spans="1:19" x14ac:dyDescent="0.3">
      <c r="A1159">
        <v>7298</v>
      </c>
      <c r="B1159" t="s">
        <v>2405</v>
      </c>
      <c r="C1159">
        <v>2015</v>
      </c>
      <c r="D1159" t="s">
        <v>529</v>
      </c>
      <c r="E1159" t="s">
        <v>13</v>
      </c>
      <c r="F1159" t="s">
        <v>46</v>
      </c>
      <c r="G1159" t="s">
        <v>47</v>
      </c>
      <c r="H1159" t="s">
        <v>48</v>
      </c>
      <c r="I1159" t="s">
        <v>2406</v>
      </c>
      <c r="J1159" t="s">
        <v>17</v>
      </c>
      <c r="K1159" t="s">
        <v>23</v>
      </c>
      <c r="L1159" t="s">
        <v>5</v>
      </c>
      <c r="M1159">
        <v>77.239999999999995</v>
      </c>
      <c r="N1159">
        <v>5</v>
      </c>
      <c r="O1159">
        <v>0.2</v>
      </c>
      <c r="P1159">
        <v>7.7240000000000002</v>
      </c>
      <c r="Q1159" s="1">
        <v>0.1</v>
      </c>
      <c r="R1159" t="s">
        <v>4</v>
      </c>
      <c r="S1159" t="s">
        <v>408</v>
      </c>
    </row>
    <row r="1160" spans="1:19" x14ac:dyDescent="0.3">
      <c r="A1160">
        <v>7306</v>
      </c>
      <c r="B1160" t="s">
        <v>2407</v>
      </c>
      <c r="C1160">
        <v>2014</v>
      </c>
      <c r="D1160" t="s">
        <v>447</v>
      </c>
      <c r="E1160" t="s">
        <v>6</v>
      </c>
      <c r="F1160" t="s">
        <v>288</v>
      </c>
      <c r="G1160" t="s">
        <v>37</v>
      </c>
      <c r="H1160" t="s">
        <v>38</v>
      </c>
      <c r="I1160" t="s">
        <v>1438</v>
      </c>
      <c r="J1160" t="s">
        <v>10</v>
      </c>
      <c r="K1160" t="s">
        <v>22</v>
      </c>
      <c r="L1160" t="s">
        <v>19</v>
      </c>
      <c r="M1160">
        <v>890.84100000000001</v>
      </c>
      <c r="N1160">
        <v>3</v>
      </c>
      <c r="O1160">
        <v>0.3</v>
      </c>
      <c r="P1160">
        <v>-152.71559999999999</v>
      </c>
      <c r="Q1160" s="1">
        <v>-0.17142857142857101</v>
      </c>
      <c r="R1160" t="s">
        <v>401</v>
      </c>
      <c r="S1160" t="s">
        <v>402</v>
      </c>
    </row>
    <row r="1161" spans="1:19" x14ac:dyDescent="0.3">
      <c r="A1161">
        <v>7317</v>
      </c>
      <c r="B1161" t="s">
        <v>2408</v>
      </c>
      <c r="C1161">
        <v>2016</v>
      </c>
      <c r="D1161" t="s">
        <v>399</v>
      </c>
      <c r="E1161" t="s">
        <v>13</v>
      </c>
      <c r="F1161" t="s">
        <v>66</v>
      </c>
      <c r="G1161" t="s">
        <v>67</v>
      </c>
      <c r="H1161" t="s">
        <v>48</v>
      </c>
      <c r="I1161" t="s">
        <v>757</v>
      </c>
      <c r="J1161" t="s">
        <v>10</v>
      </c>
      <c r="K1161" t="s">
        <v>22</v>
      </c>
      <c r="L1161" t="s">
        <v>19</v>
      </c>
      <c r="M1161">
        <v>142.18199999999999</v>
      </c>
      <c r="N1161">
        <v>1</v>
      </c>
      <c r="O1161">
        <v>0.4</v>
      </c>
      <c r="P1161">
        <v>-37.915199999999999</v>
      </c>
      <c r="Q1161" s="1">
        <v>-0.266666666666667</v>
      </c>
      <c r="R1161" t="s">
        <v>401</v>
      </c>
      <c r="S1161" t="s">
        <v>402</v>
      </c>
    </row>
    <row r="1162" spans="1:19" x14ac:dyDescent="0.3">
      <c r="A1162">
        <v>7380</v>
      </c>
      <c r="B1162" t="s">
        <v>2409</v>
      </c>
      <c r="C1162">
        <v>2016</v>
      </c>
      <c r="D1162" t="s">
        <v>428</v>
      </c>
      <c r="E1162" t="s">
        <v>6</v>
      </c>
      <c r="F1162" t="s">
        <v>222</v>
      </c>
      <c r="G1162" t="s">
        <v>45</v>
      </c>
      <c r="H1162" t="s">
        <v>38</v>
      </c>
      <c r="I1162" t="s">
        <v>1377</v>
      </c>
      <c r="J1162" t="s">
        <v>17</v>
      </c>
      <c r="K1162" t="s">
        <v>23</v>
      </c>
      <c r="L1162" t="s">
        <v>19</v>
      </c>
      <c r="M1162">
        <v>40.74</v>
      </c>
      <c r="N1162">
        <v>3</v>
      </c>
      <c r="O1162">
        <v>0</v>
      </c>
      <c r="P1162">
        <v>0.40739999999999998</v>
      </c>
      <c r="Q1162" s="1">
        <v>0.01</v>
      </c>
      <c r="R1162" t="s">
        <v>4</v>
      </c>
      <c r="S1162" t="s">
        <v>394</v>
      </c>
    </row>
    <row r="1163" spans="1:19" x14ac:dyDescent="0.3">
      <c r="A1163">
        <v>7390</v>
      </c>
      <c r="B1163" t="s">
        <v>2410</v>
      </c>
      <c r="C1163">
        <v>2017</v>
      </c>
      <c r="D1163" t="s">
        <v>392</v>
      </c>
      <c r="E1163" t="s">
        <v>6</v>
      </c>
      <c r="F1163" t="s">
        <v>346</v>
      </c>
      <c r="G1163" t="s">
        <v>77</v>
      </c>
      <c r="H1163" t="s">
        <v>9</v>
      </c>
      <c r="I1163" t="s">
        <v>2411</v>
      </c>
      <c r="J1163" t="s">
        <v>10</v>
      </c>
      <c r="K1163" t="s">
        <v>12</v>
      </c>
      <c r="L1163" t="s">
        <v>19</v>
      </c>
      <c r="M1163">
        <v>390.36799999999999</v>
      </c>
      <c r="N1163">
        <v>2</v>
      </c>
      <c r="O1163">
        <v>0.2</v>
      </c>
      <c r="P1163">
        <v>48.795999999999999</v>
      </c>
      <c r="Q1163" s="1">
        <v>0.125</v>
      </c>
      <c r="R1163" t="s">
        <v>4</v>
      </c>
      <c r="S1163" t="s">
        <v>408</v>
      </c>
    </row>
    <row r="1164" spans="1:19" x14ac:dyDescent="0.3">
      <c r="A1164">
        <v>7438</v>
      </c>
      <c r="B1164" t="s">
        <v>2412</v>
      </c>
      <c r="C1164">
        <v>2014</v>
      </c>
      <c r="D1164" t="s">
        <v>529</v>
      </c>
      <c r="E1164" t="s">
        <v>13</v>
      </c>
      <c r="F1164" t="s">
        <v>33</v>
      </c>
      <c r="G1164" t="s">
        <v>34</v>
      </c>
      <c r="H1164" t="s">
        <v>16</v>
      </c>
      <c r="I1164" t="s">
        <v>2413</v>
      </c>
      <c r="J1164" t="s">
        <v>17</v>
      </c>
      <c r="K1164" t="s">
        <v>28</v>
      </c>
      <c r="L1164" t="s">
        <v>19</v>
      </c>
      <c r="M1164">
        <v>21.36</v>
      </c>
      <c r="N1164">
        <v>5</v>
      </c>
      <c r="O1164">
        <v>0.2</v>
      </c>
      <c r="P1164">
        <v>7.2089999999999996</v>
      </c>
      <c r="Q1164" s="1">
        <v>0.33750000000000002</v>
      </c>
      <c r="R1164" t="s">
        <v>4</v>
      </c>
      <c r="S1164" t="s">
        <v>408</v>
      </c>
    </row>
    <row r="1165" spans="1:19" x14ac:dyDescent="0.3">
      <c r="A1165">
        <v>7496</v>
      </c>
      <c r="B1165" t="s">
        <v>2414</v>
      </c>
      <c r="C1165">
        <v>2017</v>
      </c>
      <c r="D1165" t="s">
        <v>425</v>
      </c>
      <c r="E1165" t="s">
        <v>6</v>
      </c>
      <c r="F1165" t="s">
        <v>273</v>
      </c>
      <c r="G1165" t="s">
        <v>15</v>
      </c>
      <c r="H1165" t="s">
        <v>16</v>
      </c>
      <c r="I1165" t="s">
        <v>1105</v>
      </c>
      <c r="J1165" t="s">
        <v>17</v>
      </c>
      <c r="K1165" t="s">
        <v>28</v>
      </c>
      <c r="L1165" t="s">
        <v>19</v>
      </c>
      <c r="M1165">
        <v>4.4480000000000004</v>
      </c>
      <c r="N1165">
        <v>2</v>
      </c>
      <c r="O1165">
        <v>0.2</v>
      </c>
      <c r="P1165">
        <v>1.4456</v>
      </c>
      <c r="Q1165" s="1">
        <v>0.32500000000000001</v>
      </c>
      <c r="R1165" t="s">
        <v>4</v>
      </c>
      <c r="S1165" t="s">
        <v>408</v>
      </c>
    </row>
    <row r="1166" spans="1:19" x14ac:dyDescent="0.3">
      <c r="A1166">
        <v>7551</v>
      </c>
      <c r="B1166" t="s">
        <v>2415</v>
      </c>
      <c r="C1166">
        <v>2014</v>
      </c>
      <c r="D1166" t="s">
        <v>392</v>
      </c>
      <c r="E1166" t="s">
        <v>13</v>
      </c>
      <c r="F1166" t="s">
        <v>66</v>
      </c>
      <c r="G1166" t="s">
        <v>67</v>
      </c>
      <c r="H1166" t="s">
        <v>48</v>
      </c>
      <c r="I1166" t="s">
        <v>2416</v>
      </c>
      <c r="J1166" t="s">
        <v>17</v>
      </c>
      <c r="K1166" t="s">
        <v>51</v>
      </c>
      <c r="L1166" t="s">
        <v>19</v>
      </c>
      <c r="M1166">
        <v>34.74</v>
      </c>
      <c r="N1166">
        <v>3</v>
      </c>
      <c r="O1166">
        <v>0</v>
      </c>
      <c r="P1166">
        <v>17.37</v>
      </c>
      <c r="Q1166" s="1">
        <v>0.5</v>
      </c>
      <c r="R1166" t="s">
        <v>4</v>
      </c>
      <c r="S1166" t="s">
        <v>394</v>
      </c>
    </row>
    <row r="1167" spans="1:19" x14ac:dyDescent="0.3">
      <c r="A1167">
        <v>7611</v>
      </c>
      <c r="B1167" t="s">
        <v>2417</v>
      </c>
      <c r="C1167">
        <v>2014</v>
      </c>
      <c r="D1167" t="s">
        <v>529</v>
      </c>
      <c r="E1167" t="s">
        <v>6</v>
      </c>
      <c r="F1167" t="s">
        <v>376</v>
      </c>
      <c r="G1167" t="s">
        <v>15</v>
      </c>
      <c r="H1167" t="s">
        <v>16</v>
      </c>
      <c r="I1167" t="s">
        <v>2418</v>
      </c>
      <c r="J1167" t="s">
        <v>17</v>
      </c>
      <c r="K1167" t="s">
        <v>32</v>
      </c>
      <c r="L1167" t="s">
        <v>53</v>
      </c>
      <c r="M1167">
        <v>19.440000000000001</v>
      </c>
      <c r="N1167">
        <v>3</v>
      </c>
      <c r="O1167">
        <v>0</v>
      </c>
      <c r="P1167">
        <v>9.3312000000000008</v>
      </c>
      <c r="Q1167" s="1">
        <v>0.48</v>
      </c>
      <c r="R1167" t="s">
        <v>4</v>
      </c>
      <c r="S1167" t="s">
        <v>394</v>
      </c>
    </row>
    <row r="1168" spans="1:19" x14ac:dyDescent="0.3">
      <c r="A1168">
        <v>7657</v>
      </c>
      <c r="B1168" t="s">
        <v>2419</v>
      </c>
      <c r="C1168">
        <v>2014</v>
      </c>
      <c r="D1168" t="s">
        <v>406</v>
      </c>
      <c r="E1168" t="s">
        <v>35</v>
      </c>
      <c r="F1168" t="s">
        <v>14</v>
      </c>
      <c r="G1168" t="s">
        <v>15</v>
      </c>
      <c r="H1168" t="s">
        <v>16</v>
      </c>
      <c r="I1168" t="s">
        <v>1587</v>
      </c>
      <c r="J1168" t="s">
        <v>17</v>
      </c>
      <c r="K1168" t="s">
        <v>29</v>
      </c>
      <c r="L1168" t="s">
        <v>158</v>
      </c>
      <c r="M1168">
        <v>106.96</v>
      </c>
      <c r="N1168">
        <v>2</v>
      </c>
      <c r="O1168">
        <v>0</v>
      </c>
      <c r="P1168">
        <v>31.0184</v>
      </c>
      <c r="Q1168" s="1">
        <v>0.28999999999999998</v>
      </c>
      <c r="R1168" t="s">
        <v>4</v>
      </c>
      <c r="S1168" t="s">
        <v>394</v>
      </c>
    </row>
    <row r="1169" spans="1:19" x14ac:dyDescent="0.3">
      <c r="A1169">
        <v>7661</v>
      </c>
      <c r="B1169" t="s">
        <v>2420</v>
      </c>
      <c r="C1169">
        <v>2014</v>
      </c>
      <c r="D1169" t="s">
        <v>430</v>
      </c>
      <c r="E1169" t="s">
        <v>6</v>
      </c>
      <c r="F1169" t="s">
        <v>184</v>
      </c>
      <c r="G1169" t="s">
        <v>37</v>
      </c>
      <c r="H1169" t="s">
        <v>38</v>
      </c>
      <c r="I1169" t="s">
        <v>2421</v>
      </c>
      <c r="J1169" t="s">
        <v>10</v>
      </c>
      <c r="K1169" t="s">
        <v>24</v>
      </c>
      <c r="L1169" t="s">
        <v>19</v>
      </c>
      <c r="M1169">
        <v>76.727999999999994</v>
      </c>
      <c r="N1169">
        <v>3</v>
      </c>
      <c r="O1169">
        <v>0.6</v>
      </c>
      <c r="P1169">
        <v>-53.709600000000002</v>
      </c>
      <c r="Q1169" s="1">
        <v>-0.7</v>
      </c>
      <c r="R1169" t="s">
        <v>401</v>
      </c>
      <c r="S1169" t="s">
        <v>402</v>
      </c>
    </row>
    <row r="1170" spans="1:19" x14ac:dyDescent="0.3">
      <c r="A1170">
        <v>7664</v>
      </c>
      <c r="B1170" t="s">
        <v>2422</v>
      </c>
      <c r="C1170">
        <v>2017</v>
      </c>
      <c r="D1170" t="s">
        <v>428</v>
      </c>
      <c r="E1170" t="s">
        <v>6</v>
      </c>
      <c r="F1170" t="s">
        <v>221</v>
      </c>
      <c r="G1170" t="s">
        <v>31</v>
      </c>
      <c r="H1170" t="s">
        <v>9</v>
      </c>
      <c r="I1170" t="s">
        <v>2423</v>
      </c>
      <c r="J1170" t="s">
        <v>17</v>
      </c>
      <c r="K1170" t="s">
        <v>25</v>
      </c>
      <c r="L1170" t="s">
        <v>19</v>
      </c>
      <c r="M1170">
        <v>15.92</v>
      </c>
      <c r="N1170">
        <v>5</v>
      </c>
      <c r="O1170">
        <v>0.2</v>
      </c>
      <c r="P1170">
        <v>2.786</v>
      </c>
      <c r="Q1170" s="1">
        <v>0.17499999999999999</v>
      </c>
      <c r="R1170" t="s">
        <v>4</v>
      </c>
      <c r="S1170" t="s">
        <v>408</v>
      </c>
    </row>
    <row r="1171" spans="1:19" x14ac:dyDescent="0.3">
      <c r="A1171">
        <v>7677</v>
      </c>
      <c r="B1171" t="s">
        <v>2424</v>
      </c>
      <c r="C1171">
        <v>2014</v>
      </c>
      <c r="D1171" t="s">
        <v>399</v>
      </c>
      <c r="E1171" t="s">
        <v>6</v>
      </c>
      <c r="F1171" t="s">
        <v>90</v>
      </c>
      <c r="G1171" t="s">
        <v>31</v>
      </c>
      <c r="H1171" t="s">
        <v>9</v>
      </c>
      <c r="I1171" t="s">
        <v>2056</v>
      </c>
      <c r="J1171" t="s">
        <v>26</v>
      </c>
      <c r="K1171" t="s">
        <v>50</v>
      </c>
      <c r="L1171" t="s">
        <v>158</v>
      </c>
      <c r="M1171">
        <v>23.472000000000001</v>
      </c>
      <c r="N1171">
        <v>3</v>
      </c>
      <c r="O1171">
        <v>0.2</v>
      </c>
      <c r="P1171">
        <v>4.9878</v>
      </c>
      <c r="Q1171" s="1">
        <v>0.21249999999999999</v>
      </c>
      <c r="R1171" t="s">
        <v>4</v>
      </c>
      <c r="S1171" t="s">
        <v>408</v>
      </c>
    </row>
    <row r="1172" spans="1:19" x14ac:dyDescent="0.3">
      <c r="A1172">
        <v>7696</v>
      </c>
      <c r="B1172" t="s">
        <v>2425</v>
      </c>
      <c r="C1172">
        <v>2017</v>
      </c>
      <c r="D1172" t="s">
        <v>425</v>
      </c>
      <c r="E1172" t="s">
        <v>35</v>
      </c>
      <c r="F1172" t="s">
        <v>52</v>
      </c>
      <c r="G1172" t="s">
        <v>37</v>
      </c>
      <c r="H1172" t="s">
        <v>38</v>
      </c>
      <c r="I1172" t="s">
        <v>1404</v>
      </c>
      <c r="J1172" t="s">
        <v>17</v>
      </c>
      <c r="K1172" t="s">
        <v>32</v>
      </c>
      <c r="L1172" t="s">
        <v>53</v>
      </c>
      <c r="M1172">
        <v>163.96</v>
      </c>
      <c r="N1172">
        <v>5</v>
      </c>
      <c r="O1172">
        <v>0.2</v>
      </c>
      <c r="P1172">
        <v>59.435499999999998</v>
      </c>
      <c r="Q1172" s="1">
        <v>0.36249999999999999</v>
      </c>
      <c r="R1172" t="s">
        <v>4</v>
      </c>
      <c r="S1172" t="s">
        <v>408</v>
      </c>
    </row>
    <row r="1173" spans="1:19" x14ac:dyDescent="0.3">
      <c r="A1173">
        <v>7717</v>
      </c>
      <c r="B1173" t="s">
        <v>2426</v>
      </c>
      <c r="C1173">
        <v>2015</v>
      </c>
      <c r="D1173" t="s">
        <v>430</v>
      </c>
      <c r="E1173" t="s">
        <v>13</v>
      </c>
      <c r="F1173" t="s">
        <v>141</v>
      </c>
      <c r="G1173" t="s">
        <v>89</v>
      </c>
      <c r="H1173" t="s">
        <v>16</v>
      </c>
      <c r="I1173" t="s">
        <v>2427</v>
      </c>
      <c r="J1173" t="s">
        <v>17</v>
      </c>
      <c r="K1173" t="s">
        <v>32</v>
      </c>
      <c r="L1173" t="s">
        <v>19</v>
      </c>
      <c r="M1173">
        <v>29.6</v>
      </c>
      <c r="N1173">
        <v>5</v>
      </c>
      <c r="O1173">
        <v>0.2</v>
      </c>
      <c r="P1173">
        <v>9.25</v>
      </c>
      <c r="Q1173" s="1">
        <v>0.3125</v>
      </c>
      <c r="R1173" t="s">
        <v>4</v>
      </c>
      <c r="S1173" t="s">
        <v>408</v>
      </c>
    </row>
    <row r="1174" spans="1:19" x14ac:dyDescent="0.3">
      <c r="A1174">
        <v>7775</v>
      </c>
      <c r="B1174" t="s">
        <v>2428</v>
      </c>
      <c r="C1174">
        <v>2016</v>
      </c>
      <c r="D1174" t="s">
        <v>406</v>
      </c>
      <c r="E1174" t="s">
        <v>6</v>
      </c>
      <c r="F1174" t="s">
        <v>43</v>
      </c>
      <c r="G1174" t="s">
        <v>15</v>
      </c>
      <c r="H1174" t="s">
        <v>16</v>
      </c>
      <c r="I1174" t="s">
        <v>582</v>
      </c>
      <c r="J1174" t="s">
        <v>17</v>
      </c>
      <c r="K1174" t="s">
        <v>51</v>
      </c>
      <c r="L1174" t="s">
        <v>53</v>
      </c>
      <c r="M1174">
        <v>6.12</v>
      </c>
      <c r="N1174">
        <v>3</v>
      </c>
      <c r="O1174">
        <v>0</v>
      </c>
      <c r="P1174">
        <v>2.8763999999999998</v>
      </c>
      <c r="Q1174" s="1">
        <v>0.47</v>
      </c>
      <c r="R1174" t="s">
        <v>4</v>
      </c>
      <c r="S1174" t="s">
        <v>394</v>
      </c>
    </row>
    <row r="1175" spans="1:19" x14ac:dyDescent="0.3">
      <c r="A1175">
        <v>7811</v>
      </c>
      <c r="B1175" t="s">
        <v>2429</v>
      </c>
      <c r="C1175">
        <v>2016</v>
      </c>
      <c r="D1175" t="s">
        <v>529</v>
      </c>
      <c r="E1175" t="s">
        <v>6</v>
      </c>
      <c r="F1175" t="s">
        <v>246</v>
      </c>
      <c r="G1175" t="s">
        <v>231</v>
      </c>
      <c r="H1175" t="s">
        <v>48</v>
      </c>
      <c r="I1175" t="s">
        <v>1859</v>
      </c>
      <c r="J1175" t="s">
        <v>17</v>
      </c>
      <c r="K1175" t="s">
        <v>32</v>
      </c>
      <c r="L1175" t="s">
        <v>53</v>
      </c>
      <c r="M1175">
        <v>4.7699999999999996</v>
      </c>
      <c r="N1175">
        <v>1</v>
      </c>
      <c r="O1175">
        <v>0</v>
      </c>
      <c r="P1175">
        <v>2.1465000000000001</v>
      </c>
      <c r="Q1175" s="1">
        <v>0.45</v>
      </c>
      <c r="R1175" t="s">
        <v>4</v>
      </c>
      <c r="S1175" t="s">
        <v>394</v>
      </c>
    </row>
    <row r="1176" spans="1:19" x14ac:dyDescent="0.3">
      <c r="A1176">
        <v>7825</v>
      </c>
      <c r="B1176" t="s">
        <v>2430</v>
      </c>
      <c r="C1176">
        <v>2014</v>
      </c>
      <c r="D1176" t="s">
        <v>417</v>
      </c>
      <c r="E1176" t="s">
        <v>13</v>
      </c>
      <c r="F1176" t="s">
        <v>14</v>
      </c>
      <c r="G1176" t="s">
        <v>15</v>
      </c>
      <c r="H1176" t="s">
        <v>16</v>
      </c>
      <c r="I1176" t="s">
        <v>1729</v>
      </c>
      <c r="J1176" t="s">
        <v>10</v>
      </c>
      <c r="K1176" t="s">
        <v>12</v>
      </c>
      <c r="L1176" t="s">
        <v>19</v>
      </c>
      <c r="M1176">
        <v>232.88</v>
      </c>
      <c r="N1176">
        <v>5</v>
      </c>
      <c r="O1176">
        <v>0.2</v>
      </c>
      <c r="P1176">
        <v>17.466000000000001</v>
      </c>
      <c r="Q1176" s="1">
        <v>7.4999999999999997E-2</v>
      </c>
      <c r="R1176" t="s">
        <v>4</v>
      </c>
      <c r="S1176" t="s">
        <v>408</v>
      </c>
    </row>
    <row r="1177" spans="1:19" x14ac:dyDescent="0.3">
      <c r="A1177">
        <v>7834</v>
      </c>
      <c r="B1177" t="s">
        <v>2431</v>
      </c>
      <c r="C1177">
        <v>2015</v>
      </c>
      <c r="D1177" t="s">
        <v>430</v>
      </c>
      <c r="E1177" t="s">
        <v>35</v>
      </c>
      <c r="F1177" t="s">
        <v>389</v>
      </c>
      <c r="G1177" t="s">
        <v>21</v>
      </c>
      <c r="H1177" t="s">
        <v>9</v>
      </c>
      <c r="I1177" t="s">
        <v>711</v>
      </c>
      <c r="J1177" t="s">
        <v>17</v>
      </c>
      <c r="K1177" t="s">
        <v>25</v>
      </c>
      <c r="L1177" t="s">
        <v>19</v>
      </c>
      <c r="M1177">
        <v>13.12</v>
      </c>
      <c r="N1177">
        <v>5</v>
      </c>
      <c r="O1177">
        <v>0.2</v>
      </c>
      <c r="P1177">
        <v>2.1320000000000001</v>
      </c>
      <c r="Q1177" s="1">
        <v>0.16250000000000001</v>
      </c>
      <c r="R1177" t="s">
        <v>4</v>
      </c>
      <c r="S1177" t="s">
        <v>408</v>
      </c>
    </row>
    <row r="1178" spans="1:19" x14ac:dyDescent="0.3">
      <c r="A1178">
        <v>7840</v>
      </c>
      <c r="B1178" t="s">
        <v>2432</v>
      </c>
      <c r="C1178">
        <v>2014</v>
      </c>
      <c r="D1178" t="s">
        <v>447</v>
      </c>
      <c r="E1178" t="s">
        <v>6</v>
      </c>
      <c r="F1178" t="s">
        <v>164</v>
      </c>
      <c r="G1178" t="s">
        <v>93</v>
      </c>
      <c r="H1178" t="s">
        <v>38</v>
      </c>
      <c r="I1178" t="s">
        <v>582</v>
      </c>
      <c r="J1178" t="s">
        <v>17</v>
      </c>
      <c r="K1178" t="s">
        <v>51</v>
      </c>
      <c r="L1178" t="s">
        <v>19</v>
      </c>
      <c r="M1178">
        <v>6.12</v>
      </c>
      <c r="N1178">
        <v>3</v>
      </c>
      <c r="O1178">
        <v>0</v>
      </c>
      <c r="P1178">
        <v>2.8763999999999998</v>
      </c>
      <c r="Q1178" s="1">
        <v>0.47</v>
      </c>
      <c r="R1178" t="s">
        <v>4</v>
      </c>
      <c r="S1178" t="s">
        <v>394</v>
      </c>
    </row>
    <row r="1179" spans="1:19" x14ac:dyDescent="0.3">
      <c r="A1179">
        <v>7864</v>
      </c>
      <c r="B1179" t="s">
        <v>2433</v>
      </c>
      <c r="C1179">
        <v>2015</v>
      </c>
      <c r="D1179" t="s">
        <v>425</v>
      </c>
      <c r="E1179" t="s">
        <v>6</v>
      </c>
      <c r="F1179" t="s">
        <v>195</v>
      </c>
      <c r="G1179" t="s">
        <v>72</v>
      </c>
      <c r="H1179" t="s">
        <v>16</v>
      </c>
      <c r="I1179" t="s">
        <v>773</v>
      </c>
      <c r="J1179" t="s">
        <v>17</v>
      </c>
      <c r="K1179" t="s">
        <v>23</v>
      </c>
      <c r="L1179" t="s">
        <v>5</v>
      </c>
      <c r="M1179">
        <v>272.73599999999999</v>
      </c>
      <c r="N1179">
        <v>3</v>
      </c>
      <c r="O1179">
        <v>0.2</v>
      </c>
      <c r="P1179">
        <v>-64.774799999999999</v>
      </c>
      <c r="Q1179" s="1">
        <v>-0.23749999999999999</v>
      </c>
      <c r="R1179" t="s">
        <v>401</v>
      </c>
      <c r="S1179" t="s">
        <v>408</v>
      </c>
    </row>
    <row r="1180" spans="1:19" x14ac:dyDescent="0.3">
      <c r="A1180">
        <v>7978</v>
      </c>
      <c r="B1180" t="s">
        <v>2434</v>
      </c>
      <c r="C1180">
        <v>2014</v>
      </c>
      <c r="D1180" t="s">
        <v>417</v>
      </c>
      <c r="E1180" t="s">
        <v>6</v>
      </c>
      <c r="F1180" t="s">
        <v>75</v>
      </c>
      <c r="G1180" t="s">
        <v>175</v>
      </c>
      <c r="H1180" t="s">
        <v>9</v>
      </c>
      <c r="I1180" t="s">
        <v>2435</v>
      </c>
      <c r="J1180" t="s">
        <v>26</v>
      </c>
      <c r="K1180" t="s">
        <v>27</v>
      </c>
      <c r="L1180" t="s">
        <v>19</v>
      </c>
      <c r="M1180">
        <v>659.97</v>
      </c>
      <c r="N1180">
        <v>3</v>
      </c>
      <c r="O1180">
        <v>0</v>
      </c>
      <c r="P1180">
        <v>197.99100000000001</v>
      </c>
      <c r="Q1180" s="1">
        <v>0.3</v>
      </c>
      <c r="R1180" t="s">
        <v>4</v>
      </c>
      <c r="S1180" t="s">
        <v>394</v>
      </c>
    </row>
    <row r="1181" spans="1:19" x14ac:dyDescent="0.3">
      <c r="A1181">
        <v>7981</v>
      </c>
      <c r="B1181" t="s">
        <v>2436</v>
      </c>
      <c r="C1181">
        <v>2014</v>
      </c>
      <c r="D1181" t="s">
        <v>430</v>
      </c>
      <c r="E1181" t="s">
        <v>6</v>
      </c>
      <c r="F1181" t="s">
        <v>52</v>
      </c>
      <c r="G1181" t="s">
        <v>37</v>
      </c>
      <c r="H1181" t="s">
        <v>38</v>
      </c>
      <c r="I1181" t="s">
        <v>2245</v>
      </c>
      <c r="J1181" t="s">
        <v>17</v>
      </c>
      <c r="K1181" t="s">
        <v>32</v>
      </c>
      <c r="L1181" t="s">
        <v>19</v>
      </c>
      <c r="M1181">
        <v>16.448</v>
      </c>
      <c r="N1181">
        <v>2</v>
      </c>
      <c r="O1181">
        <v>0.2</v>
      </c>
      <c r="P1181">
        <v>5.5511999999999997</v>
      </c>
      <c r="Q1181" s="1">
        <v>0.33750000000000002</v>
      </c>
      <c r="R1181" t="s">
        <v>4</v>
      </c>
      <c r="S1181" t="s">
        <v>408</v>
      </c>
    </row>
    <row r="1182" spans="1:19" x14ac:dyDescent="0.3">
      <c r="A1182">
        <v>7987</v>
      </c>
      <c r="B1182" t="s">
        <v>2437</v>
      </c>
      <c r="C1182">
        <v>2016</v>
      </c>
      <c r="D1182" t="s">
        <v>425</v>
      </c>
      <c r="E1182" t="s">
        <v>6</v>
      </c>
      <c r="F1182" t="s">
        <v>149</v>
      </c>
      <c r="G1182" t="s">
        <v>67</v>
      </c>
      <c r="H1182" t="s">
        <v>48</v>
      </c>
      <c r="I1182" t="s">
        <v>2438</v>
      </c>
      <c r="J1182" t="s">
        <v>26</v>
      </c>
      <c r="K1182" t="s">
        <v>27</v>
      </c>
      <c r="L1182" t="s">
        <v>5</v>
      </c>
      <c r="M1182">
        <v>89.95</v>
      </c>
      <c r="N1182">
        <v>5</v>
      </c>
      <c r="O1182">
        <v>0</v>
      </c>
      <c r="P1182">
        <v>43.176000000000002</v>
      </c>
      <c r="Q1182" s="1">
        <v>0.48</v>
      </c>
      <c r="R1182" t="s">
        <v>4</v>
      </c>
      <c r="S1182" t="s">
        <v>394</v>
      </c>
    </row>
    <row r="1183" spans="1:19" x14ac:dyDescent="0.3">
      <c r="A1183">
        <v>8037</v>
      </c>
      <c r="B1183" t="s">
        <v>2439</v>
      </c>
      <c r="C1183">
        <v>2015</v>
      </c>
      <c r="D1183" t="s">
        <v>428</v>
      </c>
      <c r="E1183" t="s">
        <v>6</v>
      </c>
      <c r="F1183" t="s">
        <v>174</v>
      </c>
      <c r="G1183" t="s">
        <v>156</v>
      </c>
      <c r="H1183" t="s">
        <v>48</v>
      </c>
      <c r="I1183" t="s">
        <v>1772</v>
      </c>
      <c r="J1183" t="s">
        <v>17</v>
      </c>
      <c r="K1183" t="s">
        <v>28</v>
      </c>
      <c r="L1183" t="s">
        <v>53</v>
      </c>
      <c r="M1183">
        <v>37.68</v>
      </c>
      <c r="N1183">
        <v>6</v>
      </c>
      <c r="O1183">
        <v>0</v>
      </c>
      <c r="P1183">
        <v>16.956</v>
      </c>
      <c r="Q1183" s="1">
        <v>0.45</v>
      </c>
      <c r="R1183" t="s">
        <v>4</v>
      </c>
      <c r="S1183" t="s">
        <v>394</v>
      </c>
    </row>
    <row r="1184" spans="1:19" x14ac:dyDescent="0.3">
      <c r="A1184">
        <v>8068</v>
      </c>
      <c r="B1184" t="s">
        <v>2440</v>
      </c>
      <c r="C1184">
        <v>2015</v>
      </c>
      <c r="D1184" t="s">
        <v>399</v>
      </c>
      <c r="E1184" t="s">
        <v>13</v>
      </c>
      <c r="F1184" t="s">
        <v>43</v>
      </c>
      <c r="G1184" t="s">
        <v>15</v>
      </c>
      <c r="H1184" t="s">
        <v>16</v>
      </c>
      <c r="I1184" t="s">
        <v>2441</v>
      </c>
      <c r="J1184" t="s">
        <v>26</v>
      </c>
      <c r="K1184" t="s">
        <v>50</v>
      </c>
      <c r="L1184" t="s">
        <v>19</v>
      </c>
      <c r="M1184">
        <v>239.97</v>
      </c>
      <c r="N1184">
        <v>3</v>
      </c>
      <c r="O1184">
        <v>0</v>
      </c>
      <c r="P1184">
        <v>86.389200000000002</v>
      </c>
      <c r="Q1184" s="1">
        <v>0.36</v>
      </c>
      <c r="R1184" t="s">
        <v>4</v>
      </c>
      <c r="S1184" t="s">
        <v>394</v>
      </c>
    </row>
    <row r="1185" spans="1:19" x14ac:dyDescent="0.3">
      <c r="A1185">
        <v>8093</v>
      </c>
      <c r="B1185" t="s">
        <v>2442</v>
      </c>
      <c r="C1185">
        <v>2017</v>
      </c>
      <c r="D1185" t="s">
        <v>392</v>
      </c>
      <c r="E1185" t="s">
        <v>35</v>
      </c>
      <c r="F1185" t="s">
        <v>66</v>
      </c>
      <c r="G1185" t="s">
        <v>67</v>
      </c>
      <c r="H1185" t="s">
        <v>48</v>
      </c>
      <c r="I1185" t="s">
        <v>1263</v>
      </c>
      <c r="J1185" t="s">
        <v>17</v>
      </c>
      <c r="K1185" t="s">
        <v>25</v>
      </c>
      <c r="L1185" t="s">
        <v>5</v>
      </c>
      <c r="M1185">
        <v>109.9</v>
      </c>
      <c r="N1185">
        <v>5</v>
      </c>
      <c r="O1185">
        <v>0</v>
      </c>
      <c r="P1185">
        <v>32.97</v>
      </c>
      <c r="Q1185" s="1">
        <v>0.3</v>
      </c>
      <c r="R1185" t="s">
        <v>4</v>
      </c>
      <c r="S1185" t="s">
        <v>394</v>
      </c>
    </row>
    <row r="1186" spans="1:19" x14ac:dyDescent="0.3">
      <c r="A1186">
        <v>8102</v>
      </c>
      <c r="B1186" t="s">
        <v>2443</v>
      </c>
      <c r="C1186">
        <v>2015</v>
      </c>
      <c r="D1186" t="s">
        <v>417</v>
      </c>
      <c r="E1186" t="s">
        <v>6</v>
      </c>
      <c r="F1186" t="s">
        <v>14</v>
      </c>
      <c r="G1186" t="s">
        <v>15</v>
      </c>
      <c r="H1186" t="s">
        <v>16</v>
      </c>
      <c r="I1186" t="s">
        <v>2085</v>
      </c>
      <c r="J1186" t="s">
        <v>17</v>
      </c>
      <c r="K1186" t="s">
        <v>18</v>
      </c>
      <c r="L1186" t="s">
        <v>19</v>
      </c>
      <c r="M1186">
        <v>8.26</v>
      </c>
      <c r="N1186">
        <v>2</v>
      </c>
      <c r="O1186">
        <v>0</v>
      </c>
      <c r="P1186">
        <v>3.7995999999999999</v>
      </c>
      <c r="Q1186" s="1">
        <v>0.46</v>
      </c>
      <c r="R1186" t="s">
        <v>4</v>
      </c>
      <c r="S1186" t="s">
        <v>394</v>
      </c>
    </row>
    <row r="1187" spans="1:19" x14ac:dyDescent="0.3">
      <c r="A1187">
        <v>8160</v>
      </c>
      <c r="B1187" t="s">
        <v>2444</v>
      </c>
      <c r="C1187">
        <v>2016</v>
      </c>
      <c r="D1187" t="s">
        <v>447</v>
      </c>
      <c r="E1187" t="s">
        <v>35</v>
      </c>
      <c r="F1187" t="s">
        <v>382</v>
      </c>
      <c r="G1187" t="s">
        <v>118</v>
      </c>
      <c r="H1187" t="s">
        <v>48</v>
      </c>
      <c r="I1187" t="s">
        <v>628</v>
      </c>
      <c r="J1187" t="s">
        <v>26</v>
      </c>
      <c r="K1187" t="s">
        <v>50</v>
      </c>
      <c r="L1187" t="s">
        <v>19</v>
      </c>
      <c r="M1187">
        <v>199.75</v>
      </c>
      <c r="N1187">
        <v>5</v>
      </c>
      <c r="O1187">
        <v>0</v>
      </c>
      <c r="P1187">
        <v>87.89</v>
      </c>
      <c r="Q1187" s="1">
        <v>0.44</v>
      </c>
      <c r="R1187" t="s">
        <v>4</v>
      </c>
      <c r="S1187" t="s">
        <v>394</v>
      </c>
    </row>
    <row r="1188" spans="1:19" x14ac:dyDescent="0.3">
      <c r="A1188">
        <v>8231</v>
      </c>
      <c r="B1188" t="s">
        <v>2445</v>
      </c>
      <c r="C1188">
        <v>2016</v>
      </c>
      <c r="D1188" t="s">
        <v>396</v>
      </c>
      <c r="E1188" t="s">
        <v>6</v>
      </c>
      <c r="F1188" t="s">
        <v>369</v>
      </c>
      <c r="G1188" t="s">
        <v>157</v>
      </c>
      <c r="H1188" t="s">
        <v>9</v>
      </c>
      <c r="I1188" t="s">
        <v>2446</v>
      </c>
      <c r="J1188" t="s">
        <v>17</v>
      </c>
      <c r="K1188" t="s">
        <v>25</v>
      </c>
      <c r="L1188" t="s">
        <v>5</v>
      </c>
      <c r="M1188">
        <v>35.97</v>
      </c>
      <c r="N1188">
        <v>3</v>
      </c>
      <c r="O1188">
        <v>0</v>
      </c>
      <c r="P1188">
        <v>9.7119</v>
      </c>
      <c r="Q1188" s="1">
        <v>0.27</v>
      </c>
      <c r="R1188" t="s">
        <v>4</v>
      </c>
      <c r="S1188" t="s">
        <v>394</v>
      </c>
    </row>
    <row r="1189" spans="1:19" x14ac:dyDescent="0.3">
      <c r="A1189">
        <v>8247</v>
      </c>
      <c r="B1189" t="s">
        <v>2447</v>
      </c>
      <c r="C1189">
        <v>2015</v>
      </c>
      <c r="D1189" t="s">
        <v>417</v>
      </c>
      <c r="E1189" t="s">
        <v>35</v>
      </c>
      <c r="F1189" t="s">
        <v>88</v>
      </c>
      <c r="G1189" t="s">
        <v>56</v>
      </c>
      <c r="H1189" t="s">
        <v>38</v>
      </c>
      <c r="I1189" t="s">
        <v>891</v>
      </c>
      <c r="J1189" t="s">
        <v>17</v>
      </c>
      <c r="K1189" t="s">
        <v>29</v>
      </c>
      <c r="L1189" t="s">
        <v>158</v>
      </c>
      <c r="M1189">
        <v>70.97</v>
      </c>
      <c r="N1189">
        <v>5</v>
      </c>
      <c r="O1189">
        <v>0.8</v>
      </c>
      <c r="P1189">
        <v>-191.619</v>
      </c>
      <c r="Q1189" s="1">
        <v>-2.7</v>
      </c>
      <c r="R1189" t="s">
        <v>401</v>
      </c>
      <c r="S1189" t="s">
        <v>402</v>
      </c>
    </row>
    <row r="1190" spans="1:19" x14ac:dyDescent="0.3">
      <c r="A1190">
        <v>8281</v>
      </c>
      <c r="B1190" t="s">
        <v>2448</v>
      </c>
      <c r="C1190">
        <v>2017</v>
      </c>
      <c r="D1190" t="s">
        <v>417</v>
      </c>
      <c r="E1190" t="s">
        <v>13</v>
      </c>
      <c r="F1190" t="s">
        <v>179</v>
      </c>
      <c r="G1190" t="s">
        <v>31</v>
      </c>
      <c r="H1190" t="s">
        <v>9</v>
      </c>
      <c r="I1190" t="s">
        <v>1212</v>
      </c>
      <c r="J1190" t="s">
        <v>17</v>
      </c>
      <c r="K1190" t="s">
        <v>51</v>
      </c>
      <c r="L1190" t="s">
        <v>53</v>
      </c>
      <c r="M1190">
        <v>65.231999999999999</v>
      </c>
      <c r="N1190">
        <v>3</v>
      </c>
      <c r="O1190">
        <v>0.2</v>
      </c>
      <c r="P1190">
        <v>22.015799999999999</v>
      </c>
      <c r="Q1190" s="1">
        <v>0.33750000000000002</v>
      </c>
      <c r="R1190" t="s">
        <v>4</v>
      </c>
      <c r="S1190" t="s">
        <v>408</v>
      </c>
    </row>
    <row r="1191" spans="1:19" x14ac:dyDescent="0.3">
      <c r="A1191">
        <v>8302</v>
      </c>
      <c r="B1191" t="s">
        <v>2449</v>
      </c>
      <c r="C1191">
        <v>2017</v>
      </c>
      <c r="D1191" t="s">
        <v>425</v>
      </c>
      <c r="E1191" t="s">
        <v>13</v>
      </c>
      <c r="F1191" t="s">
        <v>14</v>
      </c>
      <c r="G1191" t="s">
        <v>15</v>
      </c>
      <c r="H1191" t="s">
        <v>16</v>
      </c>
      <c r="I1191" t="s">
        <v>2450</v>
      </c>
      <c r="J1191" t="s">
        <v>26</v>
      </c>
      <c r="K1191" t="s">
        <v>50</v>
      </c>
      <c r="L1191" t="s">
        <v>19</v>
      </c>
      <c r="M1191">
        <v>1649.95</v>
      </c>
      <c r="N1191">
        <v>5</v>
      </c>
      <c r="O1191">
        <v>0</v>
      </c>
      <c r="P1191">
        <v>659.98</v>
      </c>
      <c r="Q1191" s="1">
        <v>0.4</v>
      </c>
      <c r="R1191" t="s">
        <v>4</v>
      </c>
      <c r="S1191" t="s">
        <v>394</v>
      </c>
    </row>
    <row r="1192" spans="1:19" x14ac:dyDescent="0.3">
      <c r="A1192">
        <v>8306</v>
      </c>
      <c r="B1192" t="s">
        <v>2451</v>
      </c>
      <c r="C1192">
        <v>2016</v>
      </c>
      <c r="D1192" t="s">
        <v>420</v>
      </c>
      <c r="E1192" t="s">
        <v>35</v>
      </c>
      <c r="F1192" t="s">
        <v>295</v>
      </c>
      <c r="G1192" t="s">
        <v>110</v>
      </c>
      <c r="H1192" t="s">
        <v>38</v>
      </c>
      <c r="I1192" t="s">
        <v>2452</v>
      </c>
      <c r="J1192" t="s">
        <v>17</v>
      </c>
      <c r="K1192" t="s">
        <v>32</v>
      </c>
      <c r="L1192" t="s">
        <v>19</v>
      </c>
      <c r="M1192">
        <v>32.4</v>
      </c>
      <c r="N1192">
        <v>5</v>
      </c>
      <c r="O1192">
        <v>0</v>
      </c>
      <c r="P1192">
        <v>15.552</v>
      </c>
      <c r="Q1192" s="1">
        <v>0.48</v>
      </c>
      <c r="R1192" t="s">
        <v>4</v>
      </c>
      <c r="S1192" t="s">
        <v>394</v>
      </c>
    </row>
    <row r="1193" spans="1:19" x14ac:dyDescent="0.3">
      <c r="A1193">
        <v>8416</v>
      </c>
      <c r="B1193" t="s">
        <v>2453</v>
      </c>
      <c r="C1193">
        <v>2017</v>
      </c>
      <c r="D1193" t="s">
        <v>406</v>
      </c>
      <c r="E1193" t="s">
        <v>35</v>
      </c>
      <c r="F1193" t="s">
        <v>316</v>
      </c>
      <c r="G1193" t="s">
        <v>93</v>
      </c>
      <c r="H1193" t="s">
        <v>38</v>
      </c>
      <c r="I1193" t="s">
        <v>1137</v>
      </c>
      <c r="J1193" t="s">
        <v>17</v>
      </c>
      <c r="K1193" t="s">
        <v>32</v>
      </c>
      <c r="L1193" t="s">
        <v>19</v>
      </c>
      <c r="M1193">
        <v>106.32</v>
      </c>
      <c r="N1193">
        <v>3</v>
      </c>
      <c r="O1193">
        <v>0</v>
      </c>
      <c r="P1193">
        <v>49.970399999999998</v>
      </c>
      <c r="Q1193" s="1">
        <v>0.47</v>
      </c>
      <c r="R1193" t="s">
        <v>4</v>
      </c>
      <c r="S1193" t="s">
        <v>394</v>
      </c>
    </row>
    <row r="1194" spans="1:19" x14ac:dyDescent="0.3">
      <c r="A1194">
        <v>8440</v>
      </c>
      <c r="B1194" t="s">
        <v>2454</v>
      </c>
      <c r="C1194">
        <v>2017</v>
      </c>
      <c r="D1194" t="s">
        <v>447</v>
      </c>
      <c r="E1194" t="s">
        <v>13</v>
      </c>
      <c r="F1194" t="s">
        <v>70</v>
      </c>
      <c r="G1194" t="s">
        <v>56</v>
      </c>
      <c r="H1194" t="s">
        <v>38</v>
      </c>
      <c r="I1194" t="s">
        <v>2455</v>
      </c>
      <c r="J1194" t="s">
        <v>26</v>
      </c>
      <c r="K1194" t="s">
        <v>27</v>
      </c>
      <c r="L1194" t="s">
        <v>5</v>
      </c>
      <c r="M1194">
        <v>49.616</v>
      </c>
      <c r="N1194">
        <v>2</v>
      </c>
      <c r="O1194">
        <v>0.2</v>
      </c>
      <c r="P1194">
        <v>4.9615999999999998</v>
      </c>
      <c r="Q1194" s="1">
        <v>0.1</v>
      </c>
      <c r="R1194" t="s">
        <v>4</v>
      </c>
      <c r="S1194" t="s">
        <v>408</v>
      </c>
    </row>
    <row r="1195" spans="1:19" x14ac:dyDescent="0.3">
      <c r="A1195">
        <v>8443</v>
      </c>
      <c r="B1195" t="s">
        <v>2456</v>
      </c>
      <c r="C1195">
        <v>2016</v>
      </c>
      <c r="D1195" t="s">
        <v>447</v>
      </c>
      <c r="E1195" t="s">
        <v>35</v>
      </c>
      <c r="F1195" t="s">
        <v>46</v>
      </c>
      <c r="G1195" t="s">
        <v>47</v>
      </c>
      <c r="H1195" t="s">
        <v>48</v>
      </c>
      <c r="I1195" t="s">
        <v>1233</v>
      </c>
      <c r="J1195" t="s">
        <v>26</v>
      </c>
      <c r="K1195" t="s">
        <v>27</v>
      </c>
      <c r="L1195" t="s">
        <v>19</v>
      </c>
      <c r="M1195">
        <v>431.94</v>
      </c>
      <c r="N1195">
        <v>2</v>
      </c>
      <c r="O1195">
        <v>0.4</v>
      </c>
      <c r="P1195">
        <v>-71.989999999999995</v>
      </c>
      <c r="Q1195" s="1">
        <v>-0.16666666666666699</v>
      </c>
      <c r="R1195" t="s">
        <v>401</v>
      </c>
      <c r="S1195" t="s">
        <v>402</v>
      </c>
    </row>
    <row r="1196" spans="1:19" x14ac:dyDescent="0.3">
      <c r="A1196">
        <v>8461</v>
      </c>
      <c r="B1196" t="s">
        <v>2457</v>
      </c>
      <c r="C1196">
        <v>2014</v>
      </c>
      <c r="D1196" t="s">
        <v>420</v>
      </c>
      <c r="E1196" t="s">
        <v>6</v>
      </c>
      <c r="F1196" t="s">
        <v>96</v>
      </c>
      <c r="G1196" t="s">
        <v>118</v>
      </c>
      <c r="H1196" t="s">
        <v>48</v>
      </c>
      <c r="I1196" t="s">
        <v>2458</v>
      </c>
      <c r="J1196" t="s">
        <v>17</v>
      </c>
      <c r="K1196" t="s">
        <v>28</v>
      </c>
      <c r="L1196" t="s">
        <v>19</v>
      </c>
      <c r="M1196">
        <v>25.3</v>
      </c>
      <c r="N1196">
        <v>5</v>
      </c>
      <c r="O1196">
        <v>0</v>
      </c>
      <c r="P1196">
        <v>11.891</v>
      </c>
      <c r="Q1196" s="1">
        <v>0.47</v>
      </c>
      <c r="R1196" t="s">
        <v>4</v>
      </c>
      <c r="S1196" t="s">
        <v>394</v>
      </c>
    </row>
    <row r="1197" spans="1:19" x14ac:dyDescent="0.3">
      <c r="A1197">
        <v>8497</v>
      </c>
      <c r="B1197" t="s">
        <v>2459</v>
      </c>
      <c r="C1197">
        <v>2014</v>
      </c>
      <c r="D1197" t="s">
        <v>447</v>
      </c>
      <c r="E1197" t="s">
        <v>6</v>
      </c>
      <c r="F1197" t="s">
        <v>244</v>
      </c>
      <c r="G1197" t="s">
        <v>67</v>
      </c>
      <c r="H1197" t="s">
        <v>48</v>
      </c>
      <c r="I1197" t="s">
        <v>755</v>
      </c>
      <c r="J1197" t="s">
        <v>17</v>
      </c>
      <c r="K1197" t="s">
        <v>25</v>
      </c>
      <c r="L1197" t="s">
        <v>5</v>
      </c>
      <c r="M1197">
        <v>59.52</v>
      </c>
      <c r="N1197">
        <v>3</v>
      </c>
      <c r="O1197">
        <v>0</v>
      </c>
      <c r="P1197">
        <v>15.475199999999999</v>
      </c>
      <c r="Q1197" s="1">
        <v>0.26</v>
      </c>
      <c r="R1197" t="s">
        <v>4</v>
      </c>
      <c r="S1197" t="s">
        <v>394</v>
      </c>
    </row>
    <row r="1198" spans="1:19" x14ac:dyDescent="0.3">
      <c r="A1198">
        <v>8545</v>
      </c>
      <c r="B1198" t="s">
        <v>2460</v>
      </c>
      <c r="C1198">
        <v>2016</v>
      </c>
      <c r="D1198" t="s">
        <v>447</v>
      </c>
      <c r="E1198" t="s">
        <v>13</v>
      </c>
      <c r="F1198" t="s">
        <v>94</v>
      </c>
      <c r="G1198" t="s">
        <v>157</v>
      </c>
      <c r="H1198" t="s">
        <v>9</v>
      </c>
      <c r="I1198" t="s">
        <v>2461</v>
      </c>
      <c r="J1198" t="s">
        <v>10</v>
      </c>
      <c r="K1198" t="s">
        <v>24</v>
      </c>
      <c r="L1198" t="s">
        <v>19</v>
      </c>
      <c r="M1198">
        <v>20.239999999999998</v>
      </c>
      <c r="N1198">
        <v>1</v>
      </c>
      <c r="O1198">
        <v>0</v>
      </c>
      <c r="P1198">
        <v>8.7032000000000007</v>
      </c>
      <c r="Q1198" s="1">
        <v>0.43</v>
      </c>
      <c r="R1198" t="s">
        <v>4</v>
      </c>
      <c r="S1198" t="s">
        <v>394</v>
      </c>
    </row>
    <row r="1199" spans="1:19" x14ac:dyDescent="0.3">
      <c r="A1199">
        <v>8563</v>
      </c>
      <c r="B1199" t="s">
        <v>2462</v>
      </c>
      <c r="C1199">
        <v>2016</v>
      </c>
      <c r="D1199" t="s">
        <v>406</v>
      </c>
      <c r="E1199" t="s">
        <v>13</v>
      </c>
      <c r="F1199" t="s">
        <v>225</v>
      </c>
      <c r="G1199" t="s">
        <v>40</v>
      </c>
      <c r="H1199" t="s">
        <v>38</v>
      </c>
      <c r="I1199" t="s">
        <v>2463</v>
      </c>
      <c r="J1199" t="s">
        <v>10</v>
      </c>
      <c r="K1199" t="s">
        <v>12</v>
      </c>
      <c r="L1199" t="s">
        <v>5</v>
      </c>
      <c r="M1199">
        <v>1454.9</v>
      </c>
      <c r="N1199">
        <v>5</v>
      </c>
      <c r="O1199">
        <v>0</v>
      </c>
      <c r="P1199">
        <v>378.274</v>
      </c>
      <c r="Q1199" s="1">
        <v>0.26</v>
      </c>
      <c r="R1199" t="s">
        <v>4</v>
      </c>
      <c r="S1199" t="s">
        <v>394</v>
      </c>
    </row>
    <row r="1200" spans="1:19" x14ac:dyDescent="0.3">
      <c r="A1200">
        <v>8613</v>
      </c>
      <c r="B1200" t="s">
        <v>2464</v>
      </c>
      <c r="C1200">
        <v>2016</v>
      </c>
      <c r="D1200" t="s">
        <v>430</v>
      </c>
      <c r="E1200" t="s">
        <v>13</v>
      </c>
      <c r="F1200" t="s">
        <v>14</v>
      </c>
      <c r="G1200" t="s">
        <v>15</v>
      </c>
      <c r="H1200" t="s">
        <v>16</v>
      </c>
      <c r="I1200" t="s">
        <v>755</v>
      </c>
      <c r="J1200" t="s">
        <v>17</v>
      </c>
      <c r="K1200" t="s">
        <v>25</v>
      </c>
      <c r="L1200" t="s">
        <v>5</v>
      </c>
      <c r="M1200">
        <v>39.68</v>
      </c>
      <c r="N1200">
        <v>2</v>
      </c>
      <c r="O1200">
        <v>0</v>
      </c>
      <c r="P1200">
        <v>10.316800000000001</v>
      </c>
      <c r="Q1200" s="1">
        <v>0.26</v>
      </c>
      <c r="R1200" t="s">
        <v>4</v>
      </c>
      <c r="S1200" t="s">
        <v>394</v>
      </c>
    </row>
    <row r="1201" spans="1:19" x14ac:dyDescent="0.3">
      <c r="A1201">
        <v>8614</v>
      </c>
      <c r="B1201" t="s">
        <v>2465</v>
      </c>
      <c r="C1201">
        <v>2016</v>
      </c>
      <c r="D1201" t="s">
        <v>392</v>
      </c>
      <c r="E1201" t="s">
        <v>6</v>
      </c>
      <c r="F1201" t="s">
        <v>245</v>
      </c>
      <c r="G1201" t="s">
        <v>15</v>
      </c>
      <c r="H1201" t="s">
        <v>16</v>
      </c>
      <c r="I1201" t="s">
        <v>2466</v>
      </c>
      <c r="J1201" t="s">
        <v>26</v>
      </c>
      <c r="K1201" t="s">
        <v>50</v>
      </c>
      <c r="L1201" t="s">
        <v>19</v>
      </c>
      <c r="M1201">
        <v>479.97</v>
      </c>
      <c r="N1201">
        <v>3</v>
      </c>
      <c r="O1201">
        <v>0</v>
      </c>
      <c r="P1201">
        <v>177.5889</v>
      </c>
      <c r="Q1201" s="1">
        <v>0.37</v>
      </c>
      <c r="R1201" t="s">
        <v>4</v>
      </c>
      <c r="S1201" t="s">
        <v>394</v>
      </c>
    </row>
    <row r="1202" spans="1:19" x14ac:dyDescent="0.3">
      <c r="A1202">
        <v>8678</v>
      </c>
      <c r="B1202" t="s">
        <v>2467</v>
      </c>
      <c r="C1202">
        <v>2017</v>
      </c>
      <c r="D1202" t="s">
        <v>399</v>
      </c>
      <c r="E1202" t="s">
        <v>6</v>
      </c>
      <c r="F1202" t="s">
        <v>390</v>
      </c>
      <c r="G1202" t="s">
        <v>37</v>
      </c>
      <c r="H1202" t="s">
        <v>38</v>
      </c>
      <c r="I1202" t="s">
        <v>2468</v>
      </c>
      <c r="J1202" t="s">
        <v>10</v>
      </c>
      <c r="K1202" t="s">
        <v>22</v>
      </c>
      <c r="L1202" t="s">
        <v>53</v>
      </c>
      <c r="M1202">
        <v>517.40499999999997</v>
      </c>
      <c r="N1202">
        <v>5</v>
      </c>
      <c r="O1202">
        <v>0.3</v>
      </c>
      <c r="P1202">
        <v>-81.3065</v>
      </c>
      <c r="Q1202" s="1">
        <v>-0.157142857142857</v>
      </c>
      <c r="R1202" t="s">
        <v>401</v>
      </c>
      <c r="S1202" t="s">
        <v>402</v>
      </c>
    </row>
    <row r="1203" spans="1:19" x14ac:dyDescent="0.3">
      <c r="A1203">
        <v>8706</v>
      </c>
      <c r="B1203" t="s">
        <v>2469</v>
      </c>
      <c r="C1203">
        <v>2014</v>
      </c>
      <c r="D1203" t="s">
        <v>399</v>
      </c>
      <c r="E1203" t="s">
        <v>35</v>
      </c>
      <c r="F1203" t="s">
        <v>252</v>
      </c>
      <c r="G1203" t="s">
        <v>167</v>
      </c>
      <c r="H1203" t="s">
        <v>16</v>
      </c>
      <c r="I1203" t="s">
        <v>2470</v>
      </c>
      <c r="J1203" t="s">
        <v>17</v>
      </c>
      <c r="K1203" t="s">
        <v>68</v>
      </c>
      <c r="L1203" t="s">
        <v>19</v>
      </c>
      <c r="M1203">
        <v>4.71</v>
      </c>
      <c r="N1203">
        <v>1</v>
      </c>
      <c r="O1203">
        <v>0</v>
      </c>
      <c r="P1203">
        <v>0</v>
      </c>
      <c r="Q1203" s="1">
        <v>0</v>
      </c>
      <c r="R1203" t="s">
        <v>4</v>
      </c>
      <c r="S1203" t="s">
        <v>394</v>
      </c>
    </row>
    <row r="1204" spans="1:19" x14ac:dyDescent="0.3">
      <c r="A1204">
        <v>8774</v>
      </c>
      <c r="B1204" t="s">
        <v>2471</v>
      </c>
      <c r="C1204">
        <v>2015</v>
      </c>
      <c r="D1204" t="s">
        <v>529</v>
      </c>
      <c r="E1204" t="s">
        <v>35</v>
      </c>
      <c r="F1204" t="s">
        <v>66</v>
      </c>
      <c r="G1204" t="s">
        <v>67</v>
      </c>
      <c r="H1204" t="s">
        <v>48</v>
      </c>
      <c r="I1204" t="s">
        <v>903</v>
      </c>
      <c r="J1204" t="s">
        <v>17</v>
      </c>
      <c r="K1204" t="s">
        <v>29</v>
      </c>
      <c r="L1204" t="s">
        <v>19</v>
      </c>
      <c r="M1204">
        <v>26.88</v>
      </c>
      <c r="N1204">
        <v>6</v>
      </c>
      <c r="O1204">
        <v>0</v>
      </c>
      <c r="P1204">
        <v>6.72</v>
      </c>
      <c r="Q1204" s="1">
        <v>0.25</v>
      </c>
      <c r="R1204" t="s">
        <v>4</v>
      </c>
      <c r="S1204" t="s">
        <v>394</v>
      </c>
    </row>
    <row r="1205" spans="1:19" x14ac:dyDescent="0.3">
      <c r="A1205">
        <v>8799</v>
      </c>
      <c r="B1205" t="s">
        <v>2472</v>
      </c>
      <c r="C1205">
        <v>2016</v>
      </c>
      <c r="D1205" t="s">
        <v>406</v>
      </c>
      <c r="E1205" t="s">
        <v>35</v>
      </c>
      <c r="F1205" t="s">
        <v>210</v>
      </c>
      <c r="G1205" t="s">
        <v>318</v>
      </c>
      <c r="H1205" t="s">
        <v>48</v>
      </c>
      <c r="I1205" t="s">
        <v>2473</v>
      </c>
      <c r="J1205" t="s">
        <v>26</v>
      </c>
      <c r="K1205" t="s">
        <v>27</v>
      </c>
      <c r="L1205" t="s">
        <v>19</v>
      </c>
      <c r="M1205">
        <v>1294.75</v>
      </c>
      <c r="N1205">
        <v>5</v>
      </c>
      <c r="O1205">
        <v>0</v>
      </c>
      <c r="P1205">
        <v>336.63499999999999</v>
      </c>
      <c r="Q1205" s="1">
        <v>0.26</v>
      </c>
      <c r="R1205" t="s">
        <v>4</v>
      </c>
      <c r="S1205" t="s">
        <v>394</v>
      </c>
    </row>
    <row r="1206" spans="1:19" x14ac:dyDescent="0.3">
      <c r="A1206">
        <v>8800</v>
      </c>
      <c r="B1206" t="s">
        <v>2474</v>
      </c>
      <c r="C1206">
        <v>2014</v>
      </c>
      <c r="D1206" t="s">
        <v>417</v>
      </c>
      <c r="E1206" t="s">
        <v>6</v>
      </c>
      <c r="F1206" t="s">
        <v>46</v>
      </c>
      <c r="G1206" t="s">
        <v>47</v>
      </c>
      <c r="H1206" t="s">
        <v>48</v>
      </c>
      <c r="I1206" t="s">
        <v>2379</v>
      </c>
      <c r="J1206" t="s">
        <v>26</v>
      </c>
      <c r="K1206" t="s">
        <v>152</v>
      </c>
      <c r="L1206" t="s">
        <v>53</v>
      </c>
      <c r="M1206">
        <v>1799.97</v>
      </c>
      <c r="N1206">
        <v>5</v>
      </c>
      <c r="O1206">
        <v>0.4</v>
      </c>
      <c r="P1206">
        <v>239.99600000000001</v>
      </c>
      <c r="Q1206" s="1">
        <v>0.133333333333333</v>
      </c>
      <c r="R1206" t="s">
        <v>4</v>
      </c>
      <c r="S1206" t="s">
        <v>402</v>
      </c>
    </row>
    <row r="1207" spans="1:19" x14ac:dyDescent="0.3">
      <c r="A1207">
        <v>8842</v>
      </c>
      <c r="B1207" t="s">
        <v>2475</v>
      </c>
      <c r="C1207">
        <v>2016</v>
      </c>
      <c r="D1207" t="s">
        <v>529</v>
      </c>
      <c r="E1207" t="s">
        <v>13</v>
      </c>
      <c r="F1207" t="s">
        <v>43</v>
      </c>
      <c r="G1207" t="s">
        <v>15</v>
      </c>
      <c r="H1207" t="s">
        <v>16</v>
      </c>
      <c r="I1207" t="s">
        <v>636</v>
      </c>
      <c r="J1207" t="s">
        <v>26</v>
      </c>
      <c r="K1207" t="s">
        <v>50</v>
      </c>
      <c r="L1207" t="s">
        <v>19</v>
      </c>
      <c r="M1207">
        <v>89.97</v>
      </c>
      <c r="N1207">
        <v>3</v>
      </c>
      <c r="O1207">
        <v>0</v>
      </c>
      <c r="P1207">
        <v>39.586799999999997</v>
      </c>
      <c r="Q1207" s="1">
        <v>0.44</v>
      </c>
      <c r="R1207" t="s">
        <v>4</v>
      </c>
      <c r="S1207" t="s">
        <v>394</v>
      </c>
    </row>
    <row r="1208" spans="1:19" x14ac:dyDescent="0.3">
      <c r="A1208">
        <v>8901</v>
      </c>
      <c r="B1208" t="s">
        <v>2476</v>
      </c>
      <c r="C1208">
        <v>2016</v>
      </c>
      <c r="D1208" t="s">
        <v>417</v>
      </c>
      <c r="E1208" t="s">
        <v>6</v>
      </c>
      <c r="F1208" t="s">
        <v>78</v>
      </c>
      <c r="G1208" t="s">
        <v>56</v>
      </c>
      <c r="H1208" t="s">
        <v>38</v>
      </c>
      <c r="I1208" t="s">
        <v>2477</v>
      </c>
      <c r="J1208" t="s">
        <v>10</v>
      </c>
      <c r="K1208" t="s">
        <v>24</v>
      </c>
      <c r="L1208" t="s">
        <v>19</v>
      </c>
      <c r="M1208">
        <v>32.064</v>
      </c>
      <c r="N1208">
        <v>3</v>
      </c>
      <c r="O1208">
        <v>0.6</v>
      </c>
      <c r="P1208">
        <v>-12.8256</v>
      </c>
      <c r="Q1208" s="1">
        <v>-0.4</v>
      </c>
      <c r="R1208" t="s">
        <v>401</v>
      </c>
      <c r="S1208" t="s">
        <v>402</v>
      </c>
    </row>
    <row r="1209" spans="1:19" x14ac:dyDescent="0.3">
      <c r="A1209">
        <v>8909</v>
      </c>
      <c r="B1209" t="s">
        <v>2478</v>
      </c>
      <c r="C1209">
        <v>2015</v>
      </c>
      <c r="D1209" t="s">
        <v>430</v>
      </c>
      <c r="E1209" t="s">
        <v>13</v>
      </c>
      <c r="F1209" t="s">
        <v>376</v>
      </c>
      <c r="G1209" t="s">
        <v>15</v>
      </c>
      <c r="H1209" t="s">
        <v>16</v>
      </c>
      <c r="I1209" t="s">
        <v>1668</v>
      </c>
      <c r="J1209" t="s">
        <v>17</v>
      </c>
      <c r="K1209" t="s">
        <v>32</v>
      </c>
      <c r="L1209" t="s">
        <v>19</v>
      </c>
      <c r="M1209">
        <v>182.72</v>
      </c>
      <c r="N1209">
        <v>8</v>
      </c>
      <c r="O1209">
        <v>0</v>
      </c>
      <c r="P1209">
        <v>84.051199999999994</v>
      </c>
      <c r="Q1209" s="1">
        <v>0.46</v>
      </c>
      <c r="R1209" t="s">
        <v>4</v>
      </c>
      <c r="S1209" t="s">
        <v>394</v>
      </c>
    </row>
    <row r="1210" spans="1:19" x14ac:dyDescent="0.3">
      <c r="A1210">
        <v>8944</v>
      </c>
      <c r="B1210" t="s">
        <v>2479</v>
      </c>
      <c r="C1210">
        <v>2017</v>
      </c>
      <c r="D1210" t="s">
        <v>399</v>
      </c>
      <c r="E1210" t="s">
        <v>6</v>
      </c>
      <c r="F1210" t="s">
        <v>88</v>
      </c>
      <c r="G1210" t="s">
        <v>56</v>
      </c>
      <c r="H1210" t="s">
        <v>38</v>
      </c>
      <c r="I1210" t="s">
        <v>2480</v>
      </c>
      <c r="J1210" t="s">
        <v>10</v>
      </c>
      <c r="K1210" t="s">
        <v>12</v>
      </c>
      <c r="L1210" t="s">
        <v>19</v>
      </c>
      <c r="M1210">
        <v>239.358</v>
      </c>
      <c r="N1210">
        <v>3</v>
      </c>
      <c r="O1210">
        <v>0.3</v>
      </c>
      <c r="P1210">
        <v>-47.871600000000001</v>
      </c>
      <c r="Q1210" s="1">
        <v>-0.2</v>
      </c>
      <c r="R1210" t="s">
        <v>401</v>
      </c>
      <c r="S1210" t="s">
        <v>402</v>
      </c>
    </row>
    <row r="1211" spans="1:19" x14ac:dyDescent="0.3">
      <c r="A1211">
        <v>9010</v>
      </c>
      <c r="B1211" t="s">
        <v>2481</v>
      </c>
      <c r="C1211">
        <v>2017</v>
      </c>
      <c r="D1211" t="s">
        <v>425</v>
      </c>
      <c r="E1211" t="s">
        <v>6</v>
      </c>
      <c r="F1211" t="s">
        <v>117</v>
      </c>
      <c r="G1211" t="s">
        <v>95</v>
      </c>
      <c r="H1211" t="s">
        <v>48</v>
      </c>
      <c r="I1211" t="s">
        <v>1859</v>
      </c>
      <c r="J1211" t="s">
        <v>17</v>
      </c>
      <c r="K1211" t="s">
        <v>32</v>
      </c>
      <c r="L1211" t="s">
        <v>19</v>
      </c>
      <c r="M1211">
        <v>3.8159999999999998</v>
      </c>
      <c r="N1211">
        <v>1</v>
      </c>
      <c r="O1211">
        <v>0.2</v>
      </c>
      <c r="P1211">
        <v>1.1924999999999999</v>
      </c>
      <c r="Q1211" s="1">
        <v>0.3125</v>
      </c>
      <c r="R1211" t="s">
        <v>4</v>
      </c>
      <c r="S1211" t="s">
        <v>408</v>
      </c>
    </row>
    <row r="1212" spans="1:19" x14ac:dyDescent="0.3">
      <c r="A1212">
        <v>9051</v>
      </c>
      <c r="B1212" t="s">
        <v>2482</v>
      </c>
      <c r="C1212">
        <v>2015</v>
      </c>
      <c r="D1212" t="s">
        <v>417</v>
      </c>
      <c r="E1212" t="s">
        <v>13</v>
      </c>
      <c r="F1212" t="s">
        <v>14</v>
      </c>
      <c r="G1212" t="s">
        <v>15</v>
      </c>
      <c r="H1212" t="s">
        <v>16</v>
      </c>
      <c r="I1212" t="s">
        <v>2483</v>
      </c>
      <c r="J1212" t="s">
        <v>17</v>
      </c>
      <c r="K1212" t="s">
        <v>32</v>
      </c>
      <c r="L1212" t="s">
        <v>19</v>
      </c>
      <c r="M1212">
        <v>10.86</v>
      </c>
      <c r="N1212">
        <v>2</v>
      </c>
      <c r="O1212">
        <v>0</v>
      </c>
      <c r="P1212">
        <v>5.3213999999999997</v>
      </c>
      <c r="Q1212" s="1">
        <v>0.49</v>
      </c>
      <c r="R1212" t="s">
        <v>4</v>
      </c>
      <c r="S1212" t="s">
        <v>394</v>
      </c>
    </row>
    <row r="1213" spans="1:19" x14ac:dyDescent="0.3">
      <c r="A1213">
        <v>9063</v>
      </c>
      <c r="B1213" t="s">
        <v>2484</v>
      </c>
      <c r="C1213">
        <v>2016</v>
      </c>
      <c r="D1213" t="s">
        <v>529</v>
      </c>
      <c r="E1213" t="s">
        <v>13</v>
      </c>
      <c r="F1213" t="s">
        <v>66</v>
      </c>
      <c r="G1213" t="s">
        <v>67</v>
      </c>
      <c r="H1213" t="s">
        <v>48</v>
      </c>
      <c r="I1213" t="s">
        <v>2485</v>
      </c>
      <c r="J1213" t="s">
        <v>17</v>
      </c>
      <c r="K1213" t="s">
        <v>68</v>
      </c>
      <c r="L1213" t="s">
        <v>19</v>
      </c>
      <c r="M1213">
        <v>36.479999999999997</v>
      </c>
      <c r="N1213">
        <v>6</v>
      </c>
      <c r="O1213">
        <v>0</v>
      </c>
      <c r="P1213">
        <v>18.239999999999998</v>
      </c>
      <c r="Q1213" s="1">
        <v>0.5</v>
      </c>
      <c r="R1213" t="s">
        <v>4</v>
      </c>
      <c r="S1213" t="s">
        <v>394</v>
      </c>
    </row>
    <row r="1214" spans="1:19" x14ac:dyDescent="0.3">
      <c r="A1214">
        <v>9156</v>
      </c>
      <c r="B1214" t="s">
        <v>2486</v>
      </c>
      <c r="C1214">
        <v>2014</v>
      </c>
      <c r="D1214" t="s">
        <v>430</v>
      </c>
      <c r="E1214" t="s">
        <v>6</v>
      </c>
      <c r="F1214" t="s">
        <v>166</v>
      </c>
      <c r="G1214" t="s">
        <v>167</v>
      </c>
      <c r="H1214" t="s">
        <v>16</v>
      </c>
      <c r="I1214" t="s">
        <v>532</v>
      </c>
      <c r="J1214" t="s">
        <v>17</v>
      </c>
      <c r="K1214" t="s">
        <v>32</v>
      </c>
      <c r="L1214" t="s">
        <v>19</v>
      </c>
      <c r="M1214">
        <v>40.08</v>
      </c>
      <c r="N1214">
        <v>6</v>
      </c>
      <c r="O1214">
        <v>0</v>
      </c>
      <c r="P1214">
        <v>19.238399999999999</v>
      </c>
      <c r="Q1214" s="1">
        <v>0.48</v>
      </c>
      <c r="R1214" t="s">
        <v>4</v>
      </c>
      <c r="S1214" t="s">
        <v>394</v>
      </c>
    </row>
    <row r="1215" spans="1:19" x14ac:dyDescent="0.3">
      <c r="A1215">
        <v>9164</v>
      </c>
      <c r="B1215" t="s">
        <v>2487</v>
      </c>
      <c r="C1215">
        <v>2015</v>
      </c>
      <c r="D1215" t="s">
        <v>396</v>
      </c>
      <c r="E1215" t="s">
        <v>6</v>
      </c>
      <c r="F1215" t="s">
        <v>70</v>
      </c>
      <c r="G1215" t="s">
        <v>56</v>
      </c>
      <c r="H1215" t="s">
        <v>38</v>
      </c>
      <c r="I1215" t="s">
        <v>2488</v>
      </c>
      <c r="J1215" t="s">
        <v>26</v>
      </c>
      <c r="K1215" t="s">
        <v>50</v>
      </c>
      <c r="L1215" t="s">
        <v>19</v>
      </c>
      <c r="M1215">
        <v>2.3759999999999999</v>
      </c>
      <c r="N1215">
        <v>3</v>
      </c>
      <c r="O1215">
        <v>0.2</v>
      </c>
      <c r="P1215">
        <v>0.74250000000000005</v>
      </c>
      <c r="Q1215" s="1">
        <v>0.3125</v>
      </c>
      <c r="R1215" t="s">
        <v>4</v>
      </c>
      <c r="S1215" t="s">
        <v>408</v>
      </c>
    </row>
    <row r="1216" spans="1:19" x14ac:dyDescent="0.3">
      <c r="A1216">
        <v>9267</v>
      </c>
      <c r="B1216" t="s">
        <v>2489</v>
      </c>
      <c r="C1216">
        <v>2014</v>
      </c>
      <c r="D1216" t="s">
        <v>529</v>
      </c>
      <c r="E1216" t="s">
        <v>35</v>
      </c>
      <c r="F1216" t="s">
        <v>276</v>
      </c>
      <c r="G1216" t="s">
        <v>167</v>
      </c>
      <c r="H1216" t="s">
        <v>16</v>
      </c>
      <c r="I1216" t="s">
        <v>2490</v>
      </c>
      <c r="J1216" t="s">
        <v>10</v>
      </c>
      <c r="K1216" t="s">
        <v>24</v>
      </c>
      <c r="L1216" t="s">
        <v>53</v>
      </c>
      <c r="M1216">
        <v>14.56</v>
      </c>
      <c r="N1216">
        <v>2</v>
      </c>
      <c r="O1216">
        <v>0</v>
      </c>
      <c r="P1216">
        <v>5.5327999999999999</v>
      </c>
      <c r="Q1216" s="1">
        <v>0.38</v>
      </c>
      <c r="R1216" t="s">
        <v>4</v>
      </c>
      <c r="S1216" t="s">
        <v>394</v>
      </c>
    </row>
    <row r="1217" spans="1:19" x14ac:dyDescent="0.3">
      <c r="A1217">
        <v>9314</v>
      </c>
      <c r="B1217" t="s">
        <v>2491</v>
      </c>
      <c r="C1217">
        <v>2015</v>
      </c>
      <c r="D1217" t="s">
        <v>392</v>
      </c>
      <c r="E1217" t="s">
        <v>13</v>
      </c>
      <c r="F1217" t="s">
        <v>130</v>
      </c>
      <c r="G1217" t="s">
        <v>61</v>
      </c>
      <c r="H1217" t="s">
        <v>38</v>
      </c>
      <c r="I1217" t="s">
        <v>445</v>
      </c>
      <c r="J1217" t="s">
        <v>17</v>
      </c>
      <c r="K1217" t="s">
        <v>23</v>
      </c>
      <c r="L1217" t="s">
        <v>158</v>
      </c>
      <c r="M1217">
        <v>418.32</v>
      </c>
      <c r="N1217">
        <v>7</v>
      </c>
      <c r="O1217">
        <v>0</v>
      </c>
      <c r="P1217">
        <v>117.1296</v>
      </c>
      <c r="Q1217" s="1">
        <v>0.28000000000000003</v>
      </c>
      <c r="R1217" t="s">
        <v>4</v>
      </c>
      <c r="S1217" t="s">
        <v>394</v>
      </c>
    </row>
    <row r="1218" spans="1:19" x14ac:dyDescent="0.3">
      <c r="A1218">
        <v>9318</v>
      </c>
      <c r="B1218" t="s">
        <v>2492</v>
      </c>
      <c r="C1218">
        <v>2017</v>
      </c>
      <c r="D1218" t="s">
        <v>529</v>
      </c>
      <c r="E1218" t="s">
        <v>6</v>
      </c>
      <c r="F1218" t="s">
        <v>285</v>
      </c>
      <c r="G1218" t="s">
        <v>37</v>
      </c>
      <c r="H1218" t="s">
        <v>38</v>
      </c>
      <c r="I1218" t="s">
        <v>2493</v>
      </c>
      <c r="J1218" t="s">
        <v>26</v>
      </c>
      <c r="K1218" t="s">
        <v>50</v>
      </c>
      <c r="L1218" t="s">
        <v>19</v>
      </c>
      <c r="M1218">
        <v>47.904000000000003</v>
      </c>
      <c r="N1218">
        <v>1</v>
      </c>
      <c r="O1218">
        <v>0.2</v>
      </c>
      <c r="P1218">
        <v>-2.9940000000000002</v>
      </c>
      <c r="Q1218" s="1">
        <v>-6.25E-2</v>
      </c>
      <c r="R1218" t="s">
        <v>401</v>
      </c>
      <c r="S1218" t="s">
        <v>408</v>
      </c>
    </row>
    <row r="1219" spans="1:19" x14ac:dyDescent="0.3">
      <c r="A1219">
        <v>9401</v>
      </c>
      <c r="B1219" t="s">
        <v>2494</v>
      </c>
      <c r="C1219">
        <v>2015</v>
      </c>
      <c r="D1219" t="s">
        <v>428</v>
      </c>
      <c r="E1219" t="s">
        <v>6</v>
      </c>
      <c r="F1219" t="s">
        <v>327</v>
      </c>
      <c r="G1219" t="s">
        <v>74</v>
      </c>
      <c r="H1219" t="s">
        <v>9</v>
      </c>
      <c r="I1219" t="s">
        <v>2495</v>
      </c>
      <c r="J1219" t="s">
        <v>17</v>
      </c>
      <c r="K1219" t="s">
        <v>51</v>
      </c>
      <c r="L1219" t="s">
        <v>19</v>
      </c>
      <c r="M1219">
        <v>31.12</v>
      </c>
      <c r="N1219">
        <v>4</v>
      </c>
      <c r="O1219">
        <v>0</v>
      </c>
      <c r="P1219">
        <v>14.6264</v>
      </c>
      <c r="Q1219" s="1">
        <v>0.47</v>
      </c>
      <c r="R1219" t="s">
        <v>4</v>
      </c>
      <c r="S1219" t="s">
        <v>394</v>
      </c>
    </row>
    <row r="1220" spans="1:19" x14ac:dyDescent="0.3">
      <c r="A1220">
        <v>9402</v>
      </c>
      <c r="B1220" t="s">
        <v>2496</v>
      </c>
      <c r="C1220">
        <v>2014</v>
      </c>
      <c r="D1220" t="s">
        <v>396</v>
      </c>
      <c r="E1220" t="s">
        <v>6</v>
      </c>
      <c r="F1220" t="s">
        <v>161</v>
      </c>
      <c r="G1220" t="s">
        <v>72</v>
      </c>
      <c r="H1220" t="s">
        <v>16</v>
      </c>
      <c r="I1220" t="s">
        <v>2497</v>
      </c>
      <c r="J1220" t="s">
        <v>10</v>
      </c>
      <c r="K1220" t="s">
        <v>24</v>
      </c>
      <c r="L1220" t="s">
        <v>19</v>
      </c>
      <c r="M1220">
        <v>4.2720000000000002</v>
      </c>
      <c r="N1220">
        <v>2</v>
      </c>
      <c r="O1220">
        <v>0.2</v>
      </c>
      <c r="P1220">
        <v>0.96120000000000005</v>
      </c>
      <c r="Q1220" s="1">
        <v>0.22500000000000001</v>
      </c>
      <c r="R1220" t="s">
        <v>4</v>
      </c>
      <c r="S1220" t="s">
        <v>408</v>
      </c>
    </row>
    <row r="1221" spans="1:19" x14ac:dyDescent="0.3">
      <c r="A1221">
        <v>9418</v>
      </c>
      <c r="B1221" t="s">
        <v>2498</v>
      </c>
      <c r="C1221">
        <v>2014</v>
      </c>
      <c r="D1221" t="s">
        <v>399</v>
      </c>
      <c r="E1221" t="s">
        <v>35</v>
      </c>
      <c r="F1221" t="s">
        <v>185</v>
      </c>
      <c r="G1221" t="s">
        <v>31</v>
      </c>
      <c r="H1221" t="s">
        <v>9</v>
      </c>
      <c r="I1221" t="s">
        <v>1135</v>
      </c>
      <c r="J1221" t="s">
        <v>17</v>
      </c>
      <c r="K1221" t="s">
        <v>32</v>
      </c>
      <c r="L1221" t="s">
        <v>19</v>
      </c>
      <c r="M1221">
        <v>10.368</v>
      </c>
      <c r="N1221">
        <v>2</v>
      </c>
      <c r="O1221">
        <v>0.2</v>
      </c>
      <c r="P1221">
        <v>3.6288</v>
      </c>
      <c r="Q1221" s="1">
        <v>0.35</v>
      </c>
      <c r="R1221" t="s">
        <v>4</v>
      </c>
      <c r="S1221" t="s">
        <v>408</v>
      </c>
    </row>
    <row r="1222" spans="1:19" x14ac:dyDescent="0.3">
      <c r="A1222">
        <v>9464</v>
      </c>
      <c r="B1222" t="s">
        <v>2499</v>
      </c>
      <c r="C1222">
        <v>2014</v>
      </c>
      <c r="D1222" t="s">
        <v>529</v>
      </c>
      <c r="E1222" t="s">
        <v>6</v>
      </c>
      <c r="F1222" t="s">
        <v>94</v>
      </c>
      <c r="G1222" t="s">
        <v>95</v>
      </c>
      <c r="H1222" t="s">
        <v>48</v>
      </c>
      <c r="I1222" t="s">
        <v>839</v>
      </c>
      <c r="J1222" t="s">
        <v>17</v>
      </c>
      <c r="K1222" t="s">
        <v>25</v>
      </c>
      <c r="L1222" t="s">
        <v>53</v>
      </c>
      <c r="M1222">
        <v>19.456</v>
      </c>
      <c r="N1222">
        <v>4</v>
      </c>
      <c r="O1222">
        <v>0.2</v>
      </c>
      <c r="P1222">
        <v>3.4047999999999998</v>
      </c>
      <c r="Q1222" s="1">
        <v>0.17499999999999999</v>
      </c>
      <c r="R1222" t="s">
        <v>4</v>
      </c>
      <c r="S1222" t="s">
        <v>408</v>
      </c>
    </row>
    <row r="1223" spans="1:19" x14ac:dyDescent="0.3">
      <c r="A1223">
        <v>9490</v>
      </c>
      <c r="B1223" t="s">
        <v>2500</v>
      </c>
      <c r="C1223">
        <v>2016</v>
      </c>
      <c r="D1223" t="s">
        <v>420</v>
      </c>
      <c r="E1223" t="s">
        <v>13</v>
      </c>
      <c r="F1223" t="s">
        <v>184</v>
      </c>
      <c r="G1223" t="s">
        <v>79</v>
      </c>
      <c r="H1223" t="s">
        <v>9</v>
      </c>
      <c r="I1223" t="s">
        <v>2501</v>
      </c>
      <c r="J1223" t="s">
        <v>17</v>
      </c>
      <c r="K1223" t="s">
        <v>25</v>
      </c>
      <c r="L1223" t="s">
        <v>19</v>
      </c>
      <c r="M1223">
        <v>197.05</v>
      </c>
      <c r="N1223">
        <v>7</v>
      </c>
      <c r="O1223">
        <v>0</v>
      </c>
      <c r="P1223">
        <v>59.115000000000002</v>
      </c>
      <c r="Q1223" s="1">
        <v>0.3</v>
      </c>
      <c r="R1223" t="s">
        <v>4</v>
      </c>
      <c r="S1223" t="s">
        <v>394</v>
      </c>
    </row>
    <row r="1224" spans="1:19" x14ac:dyDescent="0.3">
      <c r="A1224">
        <v>9516</v>
      </c>
      <c r="B1224" t="s">
        <v>2502</v>
      </c>
      <c r="C1224">
        <v>2014</v>
      </c>
      <c r="D1224" t="s">
        <v>529</v>
      </c>
      <c r="E1224" t="s">
        <v>6</v>
      </c>
      <c r="F1224" t="s">
        <v>70</v>
      </c>
      <c r="G1224" t="s">
        <v>56</v>
      </c>
      <c r="H1224" t="s">
        <v>38</v>
      </c>
      <c r="I1224" t="s">
        <v>1524</v>
      </c>
      <c r="J1224" t="s">
        <v>17</v>
      </c>
      <c r="K1224" t="s">
        <v>25</v>
      </c>
      <c r="L1224" t="s">
        <v>19</v>
      </c>
      <c r="M1224">
        <v>54.207999999999998</v>
      </c>
      <c r="N1224">
        <v>14</v>
      </c>
      <c r="O1224">
        <v>0.2</v>
      </c>
      <c r="P1224">
        <v>8.8087999999999997</v>
      </c>
      <c r="Q1224" s="1">
        <v>0.16250000000000001</v>
      </c>
      <c r="R1224" t="s">
        <v>4</v>
      </c>
      <c r="S1224" t="s">
        <v>408</v>
      </c>
    </row>
    <row r="1225" spans="1:19" x14ac:dyDescent="0.3">
      <c r="A1225">
        <v>9541</v>
      </c>
      <c r="B1225" t="s">
        <v>2503</v>
      </c>
      <c r="C1225">
        <v>2015</v>
      </c>
      <c r="D1225" t="s">
        <v>417</v>
      </c>
      <c r="E1225" t="s">
        <v>35</v>
      </c>
      <c r="F1225" t="s">
        <v>99</v>
      </c>
      <c r="G1225" t="s">
        <v>72</v>
      </c>
      <c r="H1225" t="s">
        <v>16</v>
      </c>
      <c r="I1225" t="s">
        <v>1418</v>
      </c>
      <c r="J1225" t="s">
        <v>10</v>
      </c>
      <c r="K1225" t="s">
        <v>12</v>
      </c>
      <c r="L1225" t="s">
        <v>5</v>
      </c>
      <c r="M1225">
        <v>191.96799999999999</v>
      </c>
      <c r="N1225">
        <v>7</v>
      </c>
      <c r="O1225">
        <v>0.2</v>
      </c>
      <c r="P1225">
        <v>16.7972</v>
      </c>
      <c r="Q1225" s="1">
        <v>8.7499999999999994E-2</v>
      </c>
      <c r="R1225" t="s">
        <v>4</v>
      </c>
      <c r="S1225" t="s">
        <v>408</v>
      </c>
    </row>
    <row r="1226" spans="1:19" x14ac:dyDescent="0.3">
      <c r="A1226">
        <v>9600</v>
      </c>
      <c r="B1226" t="s">
        <v>2504</v>
      </c>
      <c r="C1226">
        <v>2015</v>
      </c>
      <c r="D1226" t="s">
        <v>406</v>
      </c>
      <c r="E1226" t="s">
        <v>6</v>
      </c>
      <c r="F1226" t="s">
        <v>73</v>
      </c>
      <c r="G1226" t="s">
        <v>86</v>
      </c>
      <c r="H1226" t="s">
        <v>16</v>
      </c>
      <c r="I1226" t="s">
        <v>2505</v>
      </c>
      <c r="J1226" t="s">
        <v>17</v>
      </c>
      <c r="K1226" t="s">
        <v>29</v>
      </c>
      <c r="L1226" t="s">
        <v>19</v>
      </c>
      <c r="M1226">
        <v>35.207999999999998</v>
      </c>
      <c r="N1226">
        <v>1</v>
      </c>
      <c r="O1226">
        <v>0.2</v>
      </c>
      <c r="P1226">
        <v>2.6406000000000001</v>
      </c>
      <c r="Q1226" s="1">
        <v>7.4999999999999997E-2</v>
      </c>
      <c r="R1226" t="s">
        <v>4</v>
      </c>
      <c r="S1226" t="s">
        <v>408</v>
      </c>
    </row>
    <row r="1227" spans="1:19" x14ac:dyDescent="0.3">
      <c r="A1227">
        <v>9640</v>
      </c>
      <c r="B1227" t="s">
        <v>2506</v>
      </c>
      <c r="C1227">
        <v>2015</v>
      </c>
      <c r="D1227" t="s">
        <v>430</v>
      </c>
      <c r="E1227" t="s">
        <v>6</v>
      </c>
      <c r="F1227" t="s">
        <v>30</v>
      </c>
      <c r="G1227" t="s">
        <v>31</v>
      </c>
      <c r="H1227" t="s">
        <v>9</v>
      </c>
      <c r="I1227" t="s">
        <v>930</v>
      </c>
      <c r="J1227" t="s">
        <v>10</v>
      </c>
      <c r="K1227" t="s">
        <v>22</v>
      </c>
      <c r="L1227" t="s">
        <v>5</v>
      </c>
      <c r="M1227">
        <v>4297.6440000000002</v>
      </c>
      <c r="N1227">
        <v>13</v>
      </c>
      <c r="O1227">
        <v>0.4</v>
      </c>
      <c r="P1227">
        <v>-1862.3124</v>
      </c>
      <c r="Q1227" s="1">
        <v>-0.43333333333333302</v>
      </c>
      <c r="R1227" t="s">
        <v>401</v>
      </c>
      <c r="S1227" t="s">
        <v>402</v>
      </c>
    </row>
    <row r="1228" spans="1:19" x14ac:dyDescent="0.3">
      <c r="A1228">
        <v>9697</v>
      </c>
      <c r="B1228" t="s">
        <v>2507</v>
      </c>
      <c r="C1228">
        <v>2014</v>
      </c>
      <c r="D1228" t="s">
        <v>396</v>
      </c>
      <c r="E1228" t="s">
        <v>13</v>
      </c>
      <c r="F1228" t="s">
        <v>130</v>
      </c>
      <c r="G1228" t="s">
        <v>61</v>
      </c>
      <c r="H1228" t="s">
        <v>38</v>
      </c>
      <c r="I1228" t="s">
        <v>1442</v>
      </c>
      <c r="J1228" t="s">
        <v>17</v>
      </c>
      <c r="K1228" t="s">
        <v>18</v>
      </c>
      <c r="L1228" t="s">
        <v>5</v>
      </c>
      <c r="M1228">
        <v>491.55</v>
      </c>
      <c r="N1228">
        <v>5</v>
      </c>
      <c r="O1228">
        <v>0</v>
      </c>
      <c r="P1228">
        <v>240.8595</v>
      </c>
      <c r="Q1228" s="1">
        <v>0.49</v>
      </c>
      <c r="R1228" t="s">
        <v>4</v>
      </c>
      <c r="S1228" t="s">
        <v>394</v>
      </c>
    </row>
    <row r="1229" spans="1:19" x14ac:dyDescent="0.3">
      <c r="A1229">
        <v>9751</v>
      </c>
      <c r="B1229" t="s">
        <v>2508</v>
      </c>
      <c r="C1229">
        <v>2016</v>
      </c>
      <c r="D1229" t="s">
        <v>399</v>
      </c>
      <c r="E1229" t="s">
        <v>6</v>
      </c>
      <c r="F1229" t="s">
        <v>70</v>
      </c>
      <c r="G1229" t="s">
        <v>56</v>
      </c>
      <c r="H1229" t="s">
        <v>38</v>
      </c>
      <c r="I1229" t="s">
        <v>2509</v>
      </c>
      <c r="J1229" t="s">
        <v>17</v>
      </c>
      <c r="K1229" t="s">
        <v>25</v>
      </c>
      <c r="L1229" t="s">
        <v>19</v>
      </c>
      <c r="M1229">
        <v>5.3440000000000003</v>
      </c>
      <c r="N1229">
        <v>2</v>
      </c>
      <c r="O1229">
        <v>0.2</v>
      </c>
      <c r="P1229">
        <v>0.66800000000000004</v>
      </c>
      <c r="Q1229" s="1">
        <v>0.125</v>
      </c>
      <c r="R1229" t="s">
        <v>4</v>
      </c>
      <c r="S1229" t="s">
        <v>408</v>
      </c>
    </row>
    <row r="1230" spans="1:19" x14ac:dyDescent="0.3">
      <c r="A1230">
        <v>9765</v>
      </c>
      <c r="B1230" t="s">
        <v>2510</v>
      </c>
      <c r="C1230">
        <v>2014</v>
      </c>
      <c r="D1230" t="s">
        <v>396</v>
      </c>
      <c r="E1230" t="s">
        <v>6</v>
      </c>
      <c r="F1230" t="s">
        <v>14</v>
      </c>
      <c r="G1230" t="s">
        <v>15</v>
      </c>
      <c r="H1230" t="s">
        <v>16</v>
      </c>
      <c r="I1230" t="s">
        <v>2511</v>
      </c>
      <c r="J1230" t="s">
        <v>26</v>
      </c>
      <c r="K1230" t="s">
        <v>27</v>
      </c>
      <c r="L1230" t="s">
        <v>19</v>
      </c>
      <c r="M1230">
        <v>139.80000000000001</v>
      </c>
      <c r="N1230">
        <v>5</v>
      </c>
      <c r="O1230">
        <v>0.2</v>
      </c>
      <c r="P1230">
        <v>12.2325</v>
      </c>
      <c r="Q1230" s="1">
        <v>8.7499999999999994E-2</v>
      </c>
      <c r="R1230" t="s">
        <v>4</v>
      </c>
      <c r="S1230" t="s">
        <v>408</v>
      </c>
    </row>
    <row r="1231" spans="1:19" x14ac:dyDescent="0.3">
      <c r="A1231">
        <v>9766</v>
      </c>
      <c r="B1231" t="s">
        <v>2512</v>
      </c>
      <c r="C1231">
        <v>2017</v>
      </c>
      <c r="D1231" t="s">
        <v>529</v>
      </c>
      <c r="E1231" t="s">
        <v>6</v>
      </c>
      <c r="F1231" t="s">
        <v>266</v>
      </c>
      <c r="G1231" t="s">
        <v>118</v>
      </c>
      <c r="H1231" t="s">
        <v>48</v>
      </c>
      <c r="I1231" t="s">
        <v>1557</v>
      </c>
      <c r="J1231" t="s">
        <v>17</v>
      </c>
      <c r="K1231" t="s">
        <v>28</v>
      </c>
      <c r="L1231" t="s">
        <v>19</v>
      </c>
      <c r="M1231">
        <v>9.84</v>
      </c>
      <c r="N1231">
        <v>2</v>
      </c>
      <c r="O1231">
        <v>0</v>
      </c>
      <c r="P1231">
        <v>4.7232000000000003</v>
      </c>
      <c r="Q1231" s="1">
        <v>0.48</v>
      </c>
      <c r="R1231" t="s">
        <v>4</v>
      </c>
      <c r="S1231" t="s">
        <v>394</v>
      </c>
    </row>
    <row r="1232" spans="1:19" x14ac:dyDescent="0.3">
      <c r="A1232">
        <v>9786</v>
      </c>
      <c r="B1232" t="s">
        <v>2513</v>
      </c>
      <c r="C1232">
        <v>2015</v>
      </c>
      <c r="D1232" t="s">
        <v>417</v>
      </c>
      <c r="E1232" t="s">
        <v>6</v>
      </c>
      <c r="F1232" t="s">
        <v>173</v>
      </c>
      <c r="G1232" t="s">
        <v>8</v>
      </c>
      <c r="H1232" t="s">
        <v>9</v>
      </c>
      <c r="I1232" t="s">
        <v>2514</v>
      </c>
      <c r="J1232" t="s">
        <v>17</v>
      </c>
      <c r="K1232" t="s">
        <v>28</v>
      </c>
      <c r="L1232" t="s">
        <v>19</v>
      </c>
      <c r="M1232">
        <v>48.81</v>
      </c>
      <c r="N1232">
        <v>3</v>
      </c>
      <c r="O1232">
        <v>0</v>
      </c>
      <c r="P1232">
        <v>23.916899999999998</v>
      </c>
      <c r="Q1232" s="1">
        <v>0.49</v>
      </c>
      <c r="R1232" t="s">
        <v>4</v>
      </c>
      <c r="S1232" t="s">
        <v>394</v>
      </c>
    </row>
    <row r="1233" spans="1:19" x14ac:dyDescent="0.3">
      <c r="A1233">
        <v>9857</v>
      </c>
      <c r="B1233" t="s">
        <v>2515</v>
      </c>
      <c r="C1233">
        <v>2014</v>
      </c>
      <c r="D1233" t="s">
        <v>392</v>
      </c>
      <c r="E1233" t="s">
        <v>6</v>
      </c>
      <c r="F1233" t="s">
        <v>94</v>
      </c>
      <c r="G1233" t="s">
        <v>157</v>
      </c>
      <c r="H1233" t="s">
        <v>9</v>
      </c>
      <c r="I1233" t="s">
        <v>2516</v>
      </c>
      <c r="J1233" t="s">
        <v>17</v>
      </c>
      <c r="K1233" t="s">
        <v>32</v>
      </c>
      <c r="L1233" t="s">
        <v>19</v>
      </c>
      <c r="M1233">
        <v>43.68</v>
      </c>
      <c r="N1233">
        <v>6</v>
      </c>
      <c r="O1233">
        <v>0</v>
      </c>
      <c r="P1233">
        <v>20.9664</v>
      </c>
      <c r="Q1233" s="1">
        <v>0.48</v>
      </c>
      <c r="R1233" t="s">
        <v>4</v>
      </c>
      <c r="S1233" t="s">
        <v>394</v>
      </c>
    </row>
    <row r="1234" spans="1:19" x14ac:dyDescent="0.3">
      <c r="A1234">
        <v>9876</v>
      </c>
      <c r="B1234" t="s">
        <v>2517</v>
      </c>
      <c r="C1234">
        <v>2015</v>
      </c>
      <c r="D1234" t="s">
        <v>410</v>
      </c>
      <c r="E1234" t="s">
        <v>6</v>
      </c>
      <c r="F1234" t="s">
        <v>66</v>
      </c>
      <c r="G1234" t="s">
        <v>67</v>
      </c>
      <c r="H1234" t="s">
        <v>48</v>
      </c>
      <c r="I1234" t="s">
        <v>2518</v>
      </c>
      <c r="J1234" t="s">
        <v>17</v>
      </c>
      <c r="K1234" t="s">
        <v>101</v>
      </c>
      <c r="L1234" t="s">
        <v>19</v>
      </c>
      <c r="M1234">
        <v>6.36</v>
      </c>
      <c r="N1234">
        <v>2</v>
      </c>
      <c r="O1234">
        <v>0</v>
      </c>
      <c r="P1234">
        <v>6.3600000000000004E-2</v>
      </c>
      <c r="Q1234" s="1">
        <v>0.01</v>
      </c>
      <c r="R1234" t="s">
        <v>4</v>
      </c>
      <c r="S1234" t="s">
        <v>394</v>
      </c>
    </row>
    <row r="1235" spans="1:19" x14ac:dyDescent="0.3">
      <c r="A1235">
        <v>9884</v>
      </c>
      <c r="B1235" t="s">
        <v>2519</v>
      </c>
      <c r="C1235">
        <v>2014</v>
      </c>
      <c r="D1235" t="s">
        <v>406</v>
      </c>
      <c r="E1235" t="s">
        <v>13</v>
      </c>
      <c r="F1235" t="s">
        <v>14</v>
      </c>
      <c r="G1235" t="s">
        <v>15</v>
      </c>
      <c r="H1235" t="s">
        <v>16</v>
      </c>
      <c r="I1235" t="s">
        <v>2520</v>
      </c>
      <c r="J1235" t="s">
        <v>17</v>
      </c>
      <c r="K1235" t="s">
        <v>51</v>
      </c>
      <c r="L1235" t="s">
        <v>19</v>
      </c>
      <c r="M1235">
        <v>11.16</v>
      </c>
      <c r="N1235">
        <v>2</v>
      </c>
      <c r="O1235">
        <v>0</v>
      </c>
      <c r="P1235">
        <v>5.58</v>
      </c>
      <c r="Q1235" s="1">
        <v>0.5</v>
      </c>
      <c r="R1235" t="s">
        <v>4</v>
      </c>
      <c r="S1235" t="s">
        <v>394</v>
      </c>
    </row>
    <row r="1236" spans="1:19" x14ac:dyDescent="0.3">
      <c r="A1236">
        <v>9938</v>
      </c>
      <c r="B1236" t="s">
        <v>2521</v>
      </c>
      <c r="C1236">
        <v>2016</v>
      </c>
      <c r="D1236" t="s">
        <v>396</v>
      </c>
      <c r="E1236" t="s">
        <v>13</v>
      </c>
      <c r="F1236" t="s">
        <v>14</v>
      </c>
      <c r="G1236" t="s">
        <v>15</v>
      </c>
      <c r="H1236" t="s">
        <v>16</v>
      </c>
      <c r="I1236" t="s">
        <v>2522</v>
      </c>
      <c r="J1236" t="s">
        <v>10</v>
      </c>
      <c r="K1236" t="s">
        <v>22</v>
      </c>
      <c r="L1236" t="s">
        <v>5</v>
      </c>
      <c r="M1236">
        <v>71.087999999999994</v>
      </c>
      <c r="N1236">
        <v>2</v>
      </c>
      <c r="O1236">
        <v>0.2</v>
      </c>
      <c r="P1236">
        <v>-1.7771999999999999</v>
      </c>
      <c r="Q1236" s="1">
        <v>-2.5000000000000001E-2</v>
      </c>
      <c r="R1236" t="s">
        <v>401</v>
      </c>
      <c r="S1236" t="s">
        <v>408</v>
      </c>
    </row>
    <row r="1237" spans="1:19" x14ac:dyDescent="0.3">
      <c r="A1237">
        <v>9945</v>
      </c>
      <c r="B1237" t="s">
        <v>2523</v>
      </c>
      <c r="C1237">
        <v>2015</v>
      </c>
      <c r="D1237" t="s">
        <v>406</v>
      </c>
      <c r="E1237" t="s">
        <v>35</v>
      </c>
      <c r="F1237" t="s">
        <v>33</v>
      </c>
      <c r="G1237" t="s">
        <v>34</v>
      </c>
      <c r="H1237" t="s">
        <v>16</v>
      </c>
      <c r="I1237" t="s">
        <v>1377</v>
      </c>
      <c r="J1237" t="s">
        <v>17</v>
      </c>
      <c r="K1237" t="s">
        <v>23</v>
      </c>
      <c r="L1237" t="s">
        <v>5</v>
      </c>
      <c r="M1237">
        <v>40.74</v>
      </c>
      <c r="N1237">
        <v>3</v>
      </c>
      <c r="O1237">
        <v>0</v>
      </c>
      <c r="P1237">
        <v>0.40739999999999998</v>
      </c>
      <c r="Q1237" s="1">
        <v>0.01</v>
      </c>
      <c r="R1237" t="s">
        <v>4</v>
      </c>
      <c r="S1237" t="s">
        <v>394</v>
      </c>
    </row>
    <row r="1238" spans="1:19" x14ac:dyDescent="0.3">
      <c r="A1238">
        <v>9990</v>
      </c>
      <c r="B1238" t="s">
        <v>2524</v>
      </c>
      <c r="C1238">
        <v>2014</v>
      </c>
      <c r="D1238" t="s">
        <v>430</v>
      </c>
      <c r="E1238" t="s">
        <v>6</v>
      </c>
      <c r="F1238" t="s">
        <v>170</v>
      </c>
      <c r="G1238" t="s">
        <v>21</v>
      </c>
      <c r="H1238" t="s">
        <v>9</v>
      </c>
      <c r="I1238" t="s">
        <v>2525</v>
      </c>
      <c r="J1238" t="s">
        <v>10</v>
      </c>
      <c r="K1238" t="s">
        <v>24</v>
      </c>
      <c r="L1238" t="s">
        <v>5</v>
      </c>
      <c r="M1238">
        <v>25.248000000000001</v>
      </c>
      <c r="N1238">
        <v>3</v>
      </c>
      <c r="O1238">
        <v>0.2</v>
      </c>
      <c r="P1238">
        <v>4.1028000000000002</v>
      </c>
      <c r="Q1238" s="1">
        <v>0.16250000000000001</v>
      </c>
      <c r="R1238" t="s">
        <v>4</v>
      </c>
      <c r="S1238" t="s">
        <v>408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2038BD-DC6A-4596-A703-C387F9E72A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KPI_Dashboard</vt:lpstr>
      <vt:lpstr>Insights_summary</vt:lpstr>
      <vt:lpstr>Pivots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Bhumika Saini</cp:lastModifiedBy>
  <dcterms:created xsi:type="dcterms:W3CDTF">2015-06-05T18:17:20Z</dcterms:created>
  <dcterms:modified xsi:type="dcterms:W3CDTF">2026-05-07T17:09:31Z</dcterms:modified>
</cp:coreProperties>
</file>